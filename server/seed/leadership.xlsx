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90306BE-1749-4B4F-940F-66C332E4D547}" xr6:coauthVersionLast="47" xr6:coauthVersionMax="47" xr10:uidLastSave="{00000000-0000-0000-0000-000000000000}"/>
  <bookViews>
    <workbookView xWindow="-108" yWindow="-108" windowWidth="23256" windowHeight="12456" firstSheet="1" activeTab="1" xr2:uid="{BFE46688-5F27-4748-BD77-12E90EBBB041}"/>
  </bookViews>
  <sheets>
    <sheet name="Delivery Governance" sheetId="1" r:id="rId1"/>
    <sheet name="KPIs" sheetId="8" r:id="rId2"/>
    <sheet name="Calculation" sheetId="9" r:id="rId3"/>
    <sheet name="Quality" sheetId="3" r:id="rId4"/>
    <sheet name="Automation" sheetId="2" r:id="rId5"/>
    <sheet name="Sustain" sheetId="4" r:id="rId6"/>
    <sheet name="Cost" sheetId="5" r:id="rId7"/>
    <sheet name="Sheet1" sheetId="6" r:id="rId8"/>
    <sheet name="IBPS-POS" sheetId="7" r:id="rId9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7" i="9" l="1"/>
  <c r="L6" i="8" l="1"/>
  <c r="M6" i="8"/>
  <c r="N6" i="8"/>
  <c r="O6" i="8"/>
  <c r="K6" i="8"/>
  <c r="H7" i="8"/>
  <c r="I7" i="8"/>
  <c r="J7" i="8"/>
  <c r="K7" i="8"/>
  <c r="L7" i="8"/>
  <c r="M7" i="8"/>
  <c r="N7" i="8"/>
  <c r="O7" i="8"/>
  <c r="P7" i="8"/>
  <c r="Q7" i="8"/>
  <c r="R7" i="8"/>
  <c r="S7" i="8"/>
  <c r="T7" i="8"/>
  <c r="F7" i="8"/>
  <c r="G7" i="8"/>
  <c r="G6" i="8"/>
  <c r="H6" i="8"/>
  <c r="I6" i="8"/>
  <c r="J6" i="8"/>
  <c r="P6" i="8"/>
  <c r="Q6" i="8"/>
  <c r="R6" i="8"/>
  <c r="S6" i="8"/>
  <c r="T6" i="8"/>
  <c r="F6" i="8"/>
  <c r="K9" i="9"/>
  <c r="K4" i="9"/>
  <c r="G3" i="8"/>
  <c r="Q3" i="8"/>
  <c r="L3" i="8"/>
  <c r="N3" i="8"/>
  <c r="D7" i="9"/>
  <c r="D3" i="9"/>
  <c r="D4" i="9"/>
  <c r="D5" i="9"/>
  <c r="D6" i="9"/>
  <c r="D8" i="9"/>
  <c r="D9" i="9"/>
  <c r="D10" i="9"/>
  <c r="D2" i="9"/>
  <c r="C11" i="9"/>
  <c r="B11" i="9"/>
  <c r="T3" i="8"/>
  <c r="O3" i="8"/>
  <c r="J3" i="8"/>
  <c r="R3" i="8"/>
  <c r="S3" i="8"/>
  <c r="M3" i="8"/>
  <c r="I3" i="8"/>
  <c r="H3" i="8"/>
  <c r="D11" i="9" l="1"/>
</calcChain>
</file>

<file path=xl/sharedStrings.xml><?xml version="1.0" encoding="utf-8"?>
<sst xmlns="http://schemas.openxmlformats.org/spreadsheetml/2006/main" count="554" uniqueCount="281">
  <si>
    <t>Pillar 1: Engineering Health (Delivery Governance)</t>
  </si>
  <si>
    <t>KPI</t>
  </si>
  <si>
    <t>How to Measure</t>
  </si>
  <si>
    <t>Target</t>
  </si>
  <si>
    <t>mpro</t>
  </si>
  <si>
    <t>Ecomm</t>
  </si>
  <si>
    <t>POSV/IVC</t>
  </si>
  <si>
    <t>IBPS-Dolphin,POS,Claim</t>
  </si>
  <si>
    <t>Sprint Commitment</t>
  </si>
  <si>
    <t>(Story Points Completed ÷ Story Points Committed) × 100</t>
  </si>
  <si>
    <t>&gt;90%</t>
  </si>
  <si>
    <t>Release Success Rate</t>
  </si>
  <si>
    <t>(Successful Releases ÷ Total Releases) × 100</t>
  </si>
  <si>
    <t>&gt;98%</t>
  </si>
  <si>
    <t>Deployment Frequency</t>
  </si>
  <si>
    <t>Number of deployments to UAT/Production per week/month</t>
  </si>
  <si>
    <t>Increasing trend</t>
  </si>
  <si>
    <t>Team Capacity Utilization</t>
  </si>
  <si>
    <t>Productive utilization of available capacity</t>
  </si>
  <si>
    <t>&gt;=90%</t>
  </si>
  <si>
    <t>AI Efficiency</t>
  </si>
  <si>
    <t xml:space="preserve">
Efficiency Gain (%) =
((Time Without AI - Time With AI) / Time Without AI) × 100</t>
  </si>
  <si>
    <t xml:space="preserve">20 -30%(Brownfield )
50-70%(Greenfield)
</t>
  </si>
  <si>
    <t>Apr</t>
  </si>
  <si>
    <t>May</t>
  </si>
  <si>
    <t>june</t>
  </si>
  <si>
    <t>Source</t>
  </si>
  <si>
    <t>IBPS</t>
  </si>
  <si>
    <t>MS-Dolpin</t>
  </si>
  <si>
    <t>IVC/POSV</t>
  </si>
  <si>
    <t>MS-Dolphin</t>
  </si>
  <si>
    <t>Jira</t>
  </si>
  <si>
    <t>Pillar 2: Engineering Quality</t>
  </si>
  <si>
    <t>Defect density</t>
  </si>
  <si>
    <t>Total Number of Defects / SP</t>
  </si>
  <si>
    <t>0.03 – 0.05</t>
  </si>
  <si>
    <t>Test Automation Coverage</t>
  </si>
  <si>
    <t>(Automated Test Cases ÷ Total Regression Test Cases) × 100</t>
  </si>
  <si>
    <t>Unit Test Coverage</t>
  </si>
  <si>
    <t>(Lines/Branches Covered ÷ Total Lines/Branches) × 100</t>
  </si>
  <si>
    <t>Code Review Compliance</t>
  </si>
  <si>
    <t>(PRs Reviewed Before Merge ÷ Total PRs) × 100</t>
  </si>
  <si>
    <t>Technical Debt Backlog</t>
  </si>
  <si>
    <t>Open technical debt items or technical debt days</t>
  </si>
  <si>
    <t>Month-on-month reduction</t>
  </si>
  <si>
    <t>VAPT/security Compliance,DPDP</t>
  </si>
  <si>
    <t>(Critical/High Vulnerabilities Closed within SLA ÷ Total Identified) × 100</t>
  </si>
  <si>
    <t>EOL Compliance</t>
  </si>
  <si>
    <t>Applications free from End-of-Life technologies</t>
  </si>
  <si>
    <t>Sustain</t>
  </si>
  <si>
    <t xml:space="preserve">system availability </t>
  </si>
  <si>
    <t>Maintain optimal uptime with minimal infrastructure waste</t>
  </si>
  <si>
    <t>&gt;99.9%</t>
  </si>
  <si>
    <t>Sustain Report</t>
  </si>
  <si>
    <t>99.83%</t>
  </si>
  <si>
    <t>99.96%</t>
  </si>
  <si>
    <t>99.88%</t>
  </si>
  <si>
    <t>Server/Cloud Utilization</t>
  </si>
  <si>
    <t>Average utilization of compute resources</t>
  </si>
  <si>
    <t>&gt;75%</t>
  </si>
  <si>
    <t>Dynatrace</t>
  </si>
  <si>
    <t>Production Defects/hypercare post release</t>
  </si>
  <si>
    <t>Defects reported after production release</t>
  </si>
  <si>
    <t>Zero Sev-1/Sev-2</t>
  </si>
  <si>
    <t>S1-0
S2-0
S3-0</t>
  </si>
  <si>
    <t>Production Defects/hypercare</t>
  </si>
  <si>
    <t>Production Defects</t>
  </si>
  <si>
    <t>Defects reported</t>
  </si>
  <si>
    <t>S1-0
S2-1
S3-1</t>
  </si>
  <si>
    <t>S1-2
S2-0
S3-0</t>
  </si>
  <si>
    <t>S1-1
S2-0
S3-0</t>
  </si>
  <si>
    <t>S1-0
S2-2
S3-1</t>
  </si>
  <si>
    <t>MTTR</t>
  </si>
  <si>
    <t>Mean Time to Resolve production incidents(Sev-1/Sev-2)</t>
  </si>
  <si>
    <t>&lt;4 hours (Critical incidents)</t>
  </si>
  <si>
    <t xml:space="preserve"> 0 Hr</t>
  </si>
  <si>
    <t>2.1hr</t>
  </si>
  <si>
    <t xml:space="preserve"> 1.1hr</t>
  </si>
  <si>
    <t xml:space="preserve"> 0.5 Hr</t>
  </si>
  <si>
    <t>COST</t>
  </si>
  <si>
    <t>Run/Cloud Cost</t>
  </si>
  <si>
    <t>Cost and resource utilization efficiency score</t>
  </si>
  <si>
    <t>Continuous improvement</t>
  </si>
  <si>
    <t>AWS Cost report</t>
  </si>
  <si>
    <t>Cost to build</t>
  </si>
  <si>
    <t>Resource</t>
  </si>
  <si>
    <t>UT and SIT ratio</t>
  </si>
  <si>
    <t>Automation AI</t>
  </si>
  <si>
    <t>Target need  to recheck</t>
  </si>
  <si>
    <t>Pillar 3: Engineering Excellence &amp; Automation</t>
  </si>
  <si>
    <t>Deployment Automation</t>
  </si>
  <si>
    <t>(Automated Deployments ÷ Total Deployments) × 100</t>
  </si>
  <si>
    <t>AI Adoption</t>
  </si>
  <si>
    <t>(Developers Using Approved AI Tools ÷ Total Developers) × 100</t>
  </si>
  <si>
    <t>&gt;80%</t>
  </si>
  <si>
    <t>Effiecency,KPI review</t>
  </si>
  <si>
    <t>Monitoring Coverage</t>
  </si>
  <si>
    <t>Applications with dashboards, logging and alerting</t>
  </si>
  <si>
    <t>Definition</t>
  </si>
  <si>
    <t>Mean Time to Resolve production incidents</t>
  </si>
  <si>
    <t>Parent Project</t>
  </si>
  <si>
    <t>Application Name</t>
  </si>
  <si>
    <t>Parent Requirement Name</t>
  </si>
  <si>
    <t>Jira ID</t>
  </si>
  <si>
    <t>Story Description</t>
  </si>
  <si>
    <t>Story Type</t>
  </si>
  <si>
    <t>Sprint-month</t>
  </si>
  <si>
    <t>Story Points</t>
  </si>
  <si>
    <t>Story Refinement Date</t>
  </si>
  <si>
    <t>Dev Start Date</t>
  </si>
  <si>
    <t>Dev End Date</t>
  </si>
  <si>
    <t>Actual Effort (Hrs)</t>
  </si>
  <si>
    <t>UAT Deployment Date</t>
  </si>
  <si>
    <t>UAT Start Date</t>
  </si>
  <si>
    <t>UAT End Date</t>
  </si>
  <si>
    <t>UAT Status</t>
  </si>
  <si>
    <t>Production Release Date</t>
  </si>
  <si>
    <t>Production Completion Date</t>
  </si>
  <si>
    <t>Production Status</t>
  </si>
  <si>
    <t>Rollback (Y/N)</t>
  </si>
  <si>
    <t>Rollback Reason</t>
  </si>
  <si>
    <t>AI Used (Y/N)</t>
  </si>
  <si>
    <t>Estimated Effort Without AI (Hrs)</t>
  </si>
  <si>
    <t>Actual Effort With AI (Hrs)</t>
  </si>
  <si>
    <t>Story Status</t>
  </si>
  <si>
    <t>Story Drop Reason</t>
  </si>
  <si>
    <t>Onboarding Transformation</t>
  </si>
  <si>
    <t>Customer Onboarding</t>
  </si>
  <si>
    <t>Digital Customer Onboarding</t>
  </si>
  <si>
    <t>JIRA-101</t>
  </si>
  <si>
    <t>Create Customer API</t>
  </si>
  <si>
    <t>Story</t>
  </si>
  <si>
    <t>Pass</t>
  </si>
  <si>
    <t>Success</t>
  </si>
  <si>
    <t>N</t>
  </si>
  <si>
    <t>NA</t>
  </si>
  <si>
    <t>Y</t>
  </si>
  <si>
    <t>Completed</t>
  </si>
  <si>
    <t>Sno</t>
  </si>
  <si>
    <t xml:space="preserve">Project </t>
  </si>
  <si>
    <t xml:space="preserve">Status </t>
  </si>
  <si>
    <t>Items list</t>
  </si>
  <si>
    <t>Walkthrough given on (To Dev team)-Date</t>
  </si>
  <si>
    <t>JIRA ID</t>
  </si>
  <si>
    <t>Estimated Effort Without AI (SP)</t>
  </si>
  <si>
    <t xml:space="preserve">Dev Start </t>
  </si>
  <si>
    <t>Development Status</t>
  </si>
  <si>
    <t>UAT Delivery Date</t>
  </si>
  <si>
    <t>UAT Sign Off  Date</t>
  </si>
  <si>
    <t>GO Live planned Date</t>
  </si>
  <si>
    <t>GO Live Date</t>
  </si>
  <si>
    <t>Gift City</t>
  </si>
  <si>
    <t>GO live</t>
  </si>
  <si>
    <t>Address information update  basis gift city indicator in letters</t>
  </si>
  <si>
    <t>IP-350</t>
  </si>
  <si>
    <t>ACR communication dollar sign change for "additional premium required" ACR reason</t>
  </si>
  <si>
    <t>IP-352</t>
  </si>
  <si>
    <t xml:space="preserve">Brand Refresh </t>
  </si>
  <si>
    <t>Logo change in IBPS application</t>
  </si>
  <si>
    <t>IP-363</t>
  </si>
  <si>
    <t>POS STP 2 -NEFT update</t>
  </si>
  <si>
    <t xml:space="preserve">NEFT update Salutation change </t>
  </si>
  <si>
    <t>PSI-156</t>
  </si>
  <si>
    <t xml:space="preserve">Nationality &amp; FATCA </t>
  </si>
  <si>
    <t>PSI-182</t>
  </si>
  <si>
    <t>Replace “Decline” decision with “Transaction not done by API” in Comm Failure bucket for all worktypes ||</t>
  </si>
  <si>
    <t xml:space="preserve">PSI-219 </t>
  </si>
  <si>
    <t>IBPS workflow changes for existing BRMS rule change "Case NSTP due to Source Validation Failed" ||</t>
  </si>
  <si>
    <t>PSI-176</t>
  </si>
  <si>
    <t>Services movement On prem to Cloud</t>
  </si>
  <si>
    <t>10 services needs to move from On prem to Cloud -30th apr</t>
  </si>
  <si>
    <t>IP-302</t>
  </si>
  <si>
    <t xml:space="preserve">3 services  (policy surrender , PAN , UW requirement reinstatement) credentials not available .. Support required from SOA </t>
  </si>
  <si>
    <t>IBPS workflow changes for less than 40% score segment : basis Penny Drop failure scenario for NEFT Update worktype.</t>
  </si>
  <si>
    <t>PSI-175</t>
  </si>
  <si>
    <t>POS STP 2 -6 worktypes</t>
  </si>
  <si>
    <t>User Story for Placing Policy status based validation for "NEFT update" while login the request ||</t>
  </si>
  <si>
    <t>PSI-155</t>
  </si>
  <si>
    <t>User story :IBPS workflow changes for disabling "Account number/IFSC code mismatch penny drop out-BRMS rule</t>
  </si>
  <si>
    <t>PSI-208</t>
  </si>
  <si>
    <t>POS STP 2- Address change</t>
  </si>
  <si>
    <t>Disabling "Annual premium based " Validation logic /BRMS rule in IBPS</t>
  </si>
  <si>
    <t>PSI-226</t>
  </si>
  <si>
    <t>UNO-IBPS integration</t>
  </si>
  <si>
    <t>Addition of emailid and phone number in createworkitem-UNO-IBPS</t>
  </si>
  <si>
    <t>IP-460</t>
  </si>
  <si>
    <t>Making goname as non mandatory in createwi -UNO-IBPS</t>
  </si>
  <si>
    <t>IP-459</t>
  </si>
  <si>
    <t xml:space="preserve">POS STP 2 -NEFT update &amp; Address change </t>
  </si>
  <si>
    <t xml:space="preserve">Ekyc journey enablement for NEFT update worktype (POS STP 2) </t>
  </si>
  <si>
    <t>PSI-178</t>
  </si>
  <si>
    <t>Disabling "Nationality &amp; FACTA validation" BRMS rule in IBPS</t>
  </si>
  <si>
    <t>PSI-227</t>
  </si>
  <si>
    <t>Adhoc -Mspace</t>
  </si>
  <si>
    <t>Request log in IBPS where Source or GO code name "mSpace" - Request coming through Mongo DB</t>
  </si>
  <si>
    <t>IP-489</t>
  </si>
  <si>
    <t>Adhoc - CIP</t>
  </si>
  <si>
    <t>Communication NPP mapping</t>
  </si>
  <si>
    <t>CIP-1754</t>
  </si>
  <si>
    <t>Adhoc-uno ibps</t>
  </si>
  <si>
    <t>TAG CONSUMPTION</t>
  </si>
  <si>
    <t>IP-494</t>
  </si>
  <si>
    <t>Person update &amp; Switching of fund</t>
  </si>
  <si>
    <t>Planned for 8th Jul</t>
  </si>
  <si>
    <t>User story : for Bypass Policy Validation for policy type HUF / Employer–Employee /MWPA/Keyman policy type : for PAN update/ Person Update /Switching of fund|| (PSI-256)</t>
  </si>
  <si>
    <t>PSI-256</t>
  </si>
  <si>
    <t>Person update</t>
  </si>
  <si>
    <t>User story :Restriction of Person Update Requests for Non–Max Life Assigned Policies (IBPS)”</t>
  </si>
  <si>
    <t>PSi-257</t>
  </si>
  <si>
    <t>NEFT update</t>
  </si>
  <si>
    <t>User Story: Enable Duplicate Check for NEFT Update Requests in IBPS ||  PSI-165</t>
  </si>
  <si>
    <t xml:space="preserve">PSI-165 </t>
  </si>
  <si>
    <r>
      <t xml:space="preserve"> 24</t>
    </r>
    <r>
      <rPr>
        <sz val="9"/>
        <color rgb="FF000000"/>
        <rFont val="Arial"/>
      </rPr>
      <t>-jun-26</t>
    </r>
  </si>
  <si>
    <t>POS STP 2 -Address change</t>
  </si>
  <si>
    <t>POS WIP -AML child ticket - Footprint</t>
  </si>
  <si>
    <t>PSI-244</t>
  </si>
  <si>
    <t>POS OR item</t>
  </si>
  <si>
    <t>2 worktypes workflow creation in Myflow : FGEP- CCMS final discussion on letter</t>
  </si>
  <si>
    <t>IP-526 + IP -587</t>
  </si>
  <si>
    <t>PAN &amp; Person update</t>
  </si>
  <si>
    <t>User story : Disabling the BRMS rule - Nationality &amp; FATCA validation failed’ &amp; workflow change for PAN &amp; Person Updation worktype ||</t>
  </si>
  <si>
    <t>PSI-255</t>
  </si>
  <si>
    <t>Hawkeye Audit observation</t>
  </si>
  <si>
    <t>[IP-522] User story : Displaying Email ID on Case Layout for Dispatch Workstep || - JIRA</t>
  </si>
  <si>
    <t>IP-522</t>
  </si>
  <si>
    <t>QA WIP item</t>
  </si>
  <si>
    <t>Expanding ACR decision-making responsibility from POS Executive to Child Ticket users for NEFT update  PSI-218</t>
  </si>
  <si>
    <t>PSI-218</t>
  </si>
  <si>
    <t>6/15/2026 (dent of 3 days because of CIP-1574)</t>
  </si>
  <si>
    <t xml:space="preserve">WIP </t>
  </si>
  <si>
    <r>
      <t xml:space="preserve">6/15/2026  </t>
    </r>
    <r>
      <rPr>
        <sz val="9"/>
        <color rgb="FF000000"/>
        <rFont val="Arial"/>
      </rPr>
      <t>18-jun-26</t>
    </r>
  </si>
  <si>
    <t>September  - planned in August , shifted to sep (dependency on PSI-220)</t>
  </si>
  <si>
    <t>PROJECT hAWKeye</t>
  </si>
  <si>
    <t>DEV WIP item</t>
  </si>
  <si>
    <t>POS wip and dashboard report password protection</t>
  </si>
  <si>
    <t>IP-451</t>
  </si>
  <si>
    <t xml:space="preserve">July </t>
  </si>
  <si>
    <t xml:space="preserve">Ekyc journey enablement for Address change  worktype (POS STP 2) </t>
  </si>
  <si>
    <t>PSI-285</t>
  </si>
  <si>
    <t xml:space="preserve">Aug </t>
  </si>
  <si>
    <t>Duplicate check - other than neft</t>
  </si>
  <si>
    <t>PSI-273</t>
  </si>
  <si>
    <t>Enable IBPS to send communication (all categories) triggers to CCMS +Additional effrts</t>
  </si>
  <si>
    <t>PSI-220</t>
  </si>
  <si>
    <t>WIP IN DEV</t>
  </si>
  <si>
    <t>September</t>
  </si>
  <si>
    <t xml:space="preserve">Expanding ACR decision-making responsibility from POS Executive to Child Ticket users for Address Change </t>
  </si>
  <si>
    <t>PSI-235</t>
  </si>
  <si>
    <t>POS STP 2-Person Update</t>
  </si>
  <si>
    <t>User story : eKYC service enablement for "Person Update" worktype : In IBPS ||</t>
  </si>
  <si>
    <t>PSI-290</t>
  </si>
  <si>
    <t>POS STP 2-Nominee Change</t>
  </si>
  <si>
    <t>User story : Expanding ACR decision-making responsibility to child Ticket users for Change of Nominee” worktype ||</t>
  </si>
  <si>
    <t>PSI-282</t>
  </si>
  <si>
    <t>Aug</t>
  </si>
  <si>
    <t>User story : Expanding ACR decision-making responsibility Signature Child Ticket users for Person update” worktype ||</t>
  </si>
  <si>
    <t>Walkthrough to schedule</t>
  </si>
  <si>
    <t>PSI-283</t>
  </si>
  <si>
    <t xml:space="preserve">Scrubing CCMS using Client ID for Address change </t>
  </si>
  <si>
    <t>PSI-289</t>
  </si>
  <si>
    <t>POS STP-Nominee change</t>
  </si>
  <si>
    <t>User story : Restriction of Change in Nominee Requests for Non–Max Life Assigned Policies (POS STP 2)||</t>
  </si>
  <si>
    <t>PSI-238</t>
  </si>
  <si>
    <t>Distribution</t>
  </si>
  <si>
    <t>total</t>
  </si>
  <si>
    <t>Dolphin</t>
  </si>
  <si>
    <t>Falcon</t>
  </si>
  <si>
    <t>INSIGHT</t>
  </si>
  <si>
    <t>Partnership</t>
  </si>
  <si>
    <t>POSV</t>
  </si>
  <si>
    <t>Sprinter</t>
  </si>
  <si>
    <t xml:space="preserve">Zest </t>
  </si>
  <si>
    <t>Live</t>
  </si>
  <si>
    <t>Product Track</t>
  </si>
  <si>
    <t>0.3 – 0.5</t>
  </si>
  <si>
    <t>Throughput(With AI)</t>
  </si>
  <si>
    <t>Throughput (Jira time log)</t>
  </si>
  <si>
    <t>Number of deployments to Production per month</t>
  </si>
  <si>
    <t>Open technical debt items or technical debt days(SP)</t>
  </si>
  <si>
    <t>No of Open VAPT</t>
  </si>
  <si>
    <t>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</si>
</sst>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09]\ #,##0.00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9"/>
      <color rgb="FF000000"/>
      <name val="Arial"/>
    </font>
    <font>
      <sz val="9"/>
      <color rgb="FF000000"/>
      <name val="Arial"/>
    </font>
    <font>
      <strike/>
      <sz val="9"/>
      <color rgb="FF000000"/>
      <name val="Arial"/>
    </font>
    <font>
      <u/>
      <sz val="11"/>
      <color rgb="FF467886"/>
      <name val="Aptos Narrow"/>
      <family val="2"/>
      <scheme val="minor"/>
    </font>
    <font>
      <sz val="11"/>
      <color rgb="FF242424"/>
      <name val="Aptos Narrow"/>
      <charset val="1"/>
      <scheme val="minor"/>
    </font>
    <font>
      <u/>
      <sz val="11"/>
      <color rgb="FF0563C1"/>
      <name val="Calibri"/>
      <charset val="1"/>
    </font>
    <font>
      <sz val="9"/>
      <color rgb="FF000000"/>
      <name val="Calibri"/>
      <family val="2"/>
    </font>
    <font>
      <sz val="8"/>
      <name val="Aptos Narrow"/>
      <family val="2"/>
      <scheme val="minor"/>
    </font>
    <font>
      <sz val="11"/>
      <color theme="1"/>
      <name val="Aptos"/>
    </font>
  </fonts>
  <fills count="15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2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DDEBF7"/>
        <bgColor rgb="FFDDEBF7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0" tint="-4.9989318521683403E-2"/>
        <bgColor rgb="FFDDEBF7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/>
      <bottom/>
      <diagonal/>
    </border>
    <border>
      <left style="medium">
        <color rgb="FFE6E6E6"/>
      </left>
      <right style="medium">
        <color rgb="FFE6E6E6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E6E6E6"/>
      </left>
      <right/>
      <top style="medium">
        <color rgb="FFE6E6E6"/>
      </top>
      <bottom style="medium">
        <color rgb="FFE6E6E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9" fontId="1" fillId="0" borderId="1" xfId="0" applyNumberFormat="1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1" fillId="0" borderId="3" xfId="0" applyFont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17" fontId="0" fillId="0" borderId="0" xfId="0" applyNumberFormat="1" applyAlignment="1">
      <alignment vertical="center" wrapText="1"/>
    </xf>
    <xf numFmtId="0" fontId="0" fillId="0" borderId="6" xfId="0" applyBorder="1"/>
    <xf numFmtId="0" fontId="6" fillId="3" borderId="4" xfId="0" applyFont="1" applyFill="1" applyBorder="1" applyAlignment="1">
      <alignment horizontal="left" vertical="center" wrapText="1"/>
    </xf>
    <xf numFmtId="15" fontId="6" fillId="3" borderId="4" xfId="0" applyNumberFormat="1" applyFont="1" applyFill="1" applyBorder="1" applyAlignment="1">
      <alignment horizontal="left" vertical="center" wrapText="1"/>
    </xf>
    <xf numFmtId="0" fontId="6" fillId="3" borderId="6" xfId="0" applyFont="1" applyFill="1" applyBorder="1" applyAlignment="1">
      <alignment horizontal="left" vertical="center" wrapText="1"/>
    </xf>
    <xf numFmtId="15" fontId="6" fillId="4" borderId="4" xfId="0" applyNumberFormat="1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horizontal="left" vertical="center" wrapText="1"/>
    </xf>
    <xf numFmtId="0" fontId="4" fillId="3" borderId="4" xfId="1" applyFill="1" applyBorder="1" applyAlignment="1">
      <alignment horizontal="left" vertical="center" wrapText="1"/>
    </xf>
    <xf numFmtId="15" fontId="5" fillId="3" borderId="4" xfId="0" applyNumberFormat="1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0" fillId="0" borderId="4" xfId="0" applyBorder="1"/>
    <xf numFmtId="0" fontId="3" fillId="6" borderId="0" xfId="0" applyFont="1" applyFill="1" applyAlignment="1">
      <alignment horizontal="center" vertical="center" wrapText="1"/>
    </xf>
    <xf numFmtId="0" fontId="5" fillId="5" borderId="5" xfId="0" applyFont="1" applyFill="1" applyBorder="1" applyAlignment="1">
      <alignment horizontal="left" vertical="center" wrapText="1"/>
    </xf>
    <xf numFmtId="0" fontId="9" fillId="3" borderId="6" xfId="0" applyFont="1" applyFill="1" applyBorder="1" applyAlignment="1">
      <alignment vertical="top" wrapText="1"/>
    </xf>
    <xf numFmtId="15" fontId="6" fillId="3" borderId="6" xfId="0" applyNumberFormat="1" applyFont="1" applyFill="1" applyBorder="1" applyAlignment="1">
      <alignment horizontal="left" vertical="center" wrapText="1"/>
    </xf>
    <xf numFmtId="15" fontId="5" fillId="3" borderId="6" xfId="0" applyNumberFormat="1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left" vertical="center" wrapText="1"/>
    </xf>
    <xf numFmtId="15" fontId="7" fillId="4" borderId="4" xfId="0" applyNumberFormat="1" applyFont="1" applyFill="1" applyBorder="1" applyAlignment="1">
      <alignment horizontal="left" vertical="center" wrapText="1"/>
    </xf>
    <xf numFmtId="0" fontId="7" fillId="4" borderId="4" xfId="0" applyFont="1" applyFill="1" applyBorder="1" applyAlignment="1">
      <alignment horizontal="left" vertical="center" wrapText="1"/>
    </xf>
    <xf numFmtId="0" fontId="9" fillId="4" borderId="4" xfId="0" applyFont="1" applyFill="1" applyBorder="1" applyAlignment="1">
      <alignment vertical="top" wrapText="1"/>
    </xf>
    <xf numFmtId="0" fontId="7" fillId="3" borderId="4" xfId="0" applyFont="1" applyFill="1" applyBorder="1" applyAlignment="1">
      <alignment horizontal="left" vertical="center" wrapText="1"/>
    </xf>
    <xf numFmtId="0" fontId="10" fillId="3" borderId="4" xfId="0" applyFont="1" applyFill="1" applyBorder="1"/>
    <xf numFmtId="16" fontId="6" fillId="3" borderId="4" xfId="0" applyNumberFormat="1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164" fontId="0" fillId="0" borderId="4" xfId="0" applyNumberFormat="1" applyBorder="1"/>
    <xf numFmtId="0" fontId="2" fillId="10" borderId="4" xfId="0" applyFont="1" applyFill="1" applyBorder="1" applyAlignment="1">
      <alignment horizontal="center" vertical="center" wrapText="1"/>
    </xf>
    <xf numFmtId="164" fontId="0" fillId="10" borderId="4" xfId="0" applyNumberFormat="1" applyFill="1" applyBorder="1"/>
    <xf numFmtId="0" fontId="0" fillId="10" borderId="4" xfId="0" applyFill="1" applyBorder="1"/>
    <xf numFmtId="0" fontId="11" fillId="10" borderId="4" xfId="0" applyFont="1" applyFill="1" applyBorder="1" applyAlignment="1">
      <alignment horizontal="left" vertical="center" readingOrder="1"/>
    </xf>
    <xf numFmtId="0" fontId="11" fillId="11" borderId="4" xfId="0" applyFont="1" applyFill="1" applyBorder="1" applyAlignment="1">
      <alignment horizontal="left" vertical="center" readingOrder="1"/>
    </xf>
    <xf numFmtId="0" fontId="11" fillId="12" borderId="4" xfId="0" applyFont="1" applyFill="1" applyBorder="1" applyAlignment="1">
      <alignment horizontal="center" readingOrder="1"/>
    </xf>
    <xf numFmtId="0" fontId="11" fillId="10" borderId="4" xfId="0" applyFont="1" applyFill="1" applyBorder="1" applyAlignment="1">
      <alignment horizontal="center" wrapText="1" readingOrder="1"/>
    </xf>
    <xf numFmtId="0" fontId="0" fillId="7" borderId="11" xfId="0" applyFill="1" applyBorder="1"/>
    <xf numFmtId="3" fontId="11" fillId="8" borderId="4" xfId="0" applyNumberFormat="1" applyFont="1" applyFill="1" applyBorder="1" applyAlignment="1">
      <alignment horizontal="center" wrapText="1" readingOrder="1"/>
    </xf>
    <xf numFmtId="3" fontId="11" fillId="9" borderId="4" xfId="0" applyNumberFormat="1" applyFont="1" applyFill="1" applyBorder="1" applyAlignment="1">
      <alignment horizontal="center" wrapText="1" readingOrder="1"/>
    </xf>
    <xf numFmtId="0" fontId="11" fillId="0" borderId="4" xfId="0" applyFont="1" applyBorder="1" applyAlignment="1">
      <alignment horizontal="left" vertical="center" readingOrder="1"/>
    </xf>
    <xf numFmtId="0" fontId="11" fillId="8" borderId="4" xfId="0" applyFont="1" applyFill="1" applyBorder="1" applyAlignment="1">
      <alignment horizontal="left" vertical="center" readingOrder="1"/>
    </xf>
    <xf numFmtId="0" fontId="11" fillId="9" borderId="4" xfId="0" applyFont="1" applyFill="1" applyBorder="1" applyAlignment="1">
      <alignment horizontal="center" wrapText="1" readingOrder="1"/>
    </xf>
    <xf numFmtId="0" fontId="11" fillId="0" borderId="4" xfId="0" applyFont="1" applyBorder="1" applyAlignment="1">
      <alignment horizontal="center" wrapText="1" readingOrder="1"/>
    </xf>
    <xf numFmtId="0" fontId="0" fillId="0" borderId="4" xfId="0" applyBorder="1" applyAlignment="1">
      <alignment wrapText="1"/>
    </xf>
    <xf numFmtId="9" fontId="0" fillId="0" borderId="4" xfId="0" applyNumberFormat="1" applyBorder="1"/>
    <xf numFmtId="9" fontId="0" fillId="0" borderId="4" xfId="0" quotePrefix="1" applyNumberFormat="1" applyBorder="1" applyAlignment="1">
      <alignment horizontal="right"/>
    </xf>
    <xf numFmtId="0" fontId="1" fillId="0" borderId="12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 wrapText="1"/>
    </xf>
    <xf numFmtId="9" fontId="1" fillId="0" borderId="4" xfId="0" applyNumberFormat="1" applyFont="1" applyBorder="1" applyAlignment="1">
      <alignment horizontal="left" vertical="center" wrapText="1"/>
    </xf>
    <xf numFmtId="0" fontId="0" fillId="7" borderId="4" xfId="0" applyFill="1" applyBorder="1"/>
    <xf numFmtId="0" fontId="1" fillId="13" borderId="4" xfId="0" applyFont="1" applyFill="1" applyBorder="1" applyAlignment="1">
      <alignment vertical="center" wrapText="1"/>
    </xf>
    <xf numFmtId="9" fontId="0" fillId="10" borderId="4" xfId="0" applyNumberFormat="1" applyFill="1" applyBorder="1"/>
    <xf numFmtId="0" fontId="13" fillId="0" borderId="13" xfId="0" applyFont="1" applyBorder="1" applyAlignment="1">
      <alignment horizontal="center" vertical="center" wrapText="1"/>
    </xf>
    <xf numFmtId="2" fontId="2" fillId="7" borderId="4" xfId="0" applyNumberFormat="1" applyFont="1" applyFill="1" applyBorder="1" applyAlignment="1">
      <alignment horizontal="center" vertical="center" wrapText="1"/>
    </xf>
    <xf numFmtId="2" fontId="0" fillId="0" borderId="4" xfId="0" applyNumberFormat="1" applyBorder="1"/>
    <xf numFmtId="2" fontId="0" fillId="0" borderId="0" xfId="0" applyNumberFormat="1"/>
    <xf numFmtId="0" fontId="11" fillId="8" borderId="4" xfId="0" applyFont="1" applyFill="1" applyBorder="1" applyAlignment="1">
      <alignment horizontal="center" wrapText="1" readingOrder="1"/>
    </xf>
    <xf numFmtId="0" fontId="13" fillId="14" borderId="13" xfId="0" applyFont="1" applyFill="1" applyBorder="1" applyAlignment="1">
      <alignment horizontal="center" vertical="center" wrapText="1"/>
    </xf>
    <xf numFmtId="0" fontId="0" fillId="14" borderId="0" xfId="0" applyFill="1"/>
    <xf numFmtId="0" fontId="0" fillId="7" borderId="9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axismaxlife.atlassian.net/browse/IP-4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5FD60-28BF-4891-ACC8-6FB47406659D}">
  <dimension ref="A1:I7"/>
  <sheetViews>
    <sheetView workbookViewId="0">
      <selection activeCell="F2" sqref="F2:I2"/>
    </sheetView>
  </sheetViews>
  <sheetFormatPr defaultRowHeight="14.4" x14ac:dyDescent="0.3"/>
  <cols>
    <col min="2" max="2" width="26.44140625" customWidth="1"/>
    <col min="3" max="3" width="35.44140625" customWidth="1"/>
    <col min="4" max="4" width="33.6640625" customWidth="1"/>
    <col min="5" max="5" width="9.44140625" customWidth="1"/>
    <col min="8" max="8" width="12.44140625" customWidth="1"/>
    <col min="9" max="9" width="27.109375" customWidth="1"/>
  </cols>
  <sheetData>
    <row r="1" spans="1:9" ht="15" thickBot="1" x14ac:dyDescent="0.35">
      <c r="A1" s="79" t="s">
        <v>0</v>
      </c>
      <c r="B1" s="79"/>
      <c r="C1" s="79"/>
      <c r="D1" s="79"/>
    </row>
    <row r="2" spans="1:9" ht="17.399999999999999" thickBot="1" x14ac:dyDescent="0.35">
      <c r="B2" s="1" t="s">
        <v>1</v>
      </c>
      <c r="C2" s="1" t="s">
        <v>2</v>
      </c>
      <c r="D2" s="1" t="s">
        <v>3</v>
      </c>
      <c r="F2" s="38" t="s">
        <v>4</v>
      </c>
      <c r="G2" s="38" t="s">
        <v>5</v>
      </c>
      <c r="H2" s="38" t="s">
        <v>6</v>
      </c>
      <c r="I2" s="38" t="s">
        <v>7</v>
      </c>
    </row>
    <row r="3" spans="1:9" ht="34.200000000000003" thickBot="1" x14ac:dyDescent="0.35">
      <c r="A3">
        <v>1</v>
      </c>
      <c r="B3" s="2" t="s">
        <v>8</v>
      </c>
      <c r="C3" s="2" t="s">
        <v>9</v>
      </c>
      <c r="D3" s="2" t="s">
        <v>10</v>
      </c>
    </row>
    <row r="4" spans="1:9" ht="34.200000000000003" thickBot="1" x14ac:dyDescent="0.35">
      <c r="A4">
        <v>2</v>
      </c>
      <c r="B4" s="2" t="s">
        <v>11</v>
      </c>
      <c r="C4" s="2" t="s">
        <v>12</v>
      </c>
      <c r="D4" s="2" t="s">
        <v>13</v>
      </c>
    </row>
    <row r="5" spans="1:9" ht="34.200000000000003" thickBot="1" x14ac:dyDescent="0.35">
      <c r="A5">
        <v>3</v>
      </c>
      <c r="B5" s="2" t="s">
        <v>14</v>
      </c>
      <c r="C5" s="2" t="s">
        <v>15</v>
      </c>
      <c r="D5" s="2" t="s">
        <v>16</v>
      </c>
    </row>
    <row r="6" spans="1:9" ht="34.200000000000003" thickBot="1" x14ac:dyDescent="0.35">
      <c r="A6">
        <v>4</v>
      </c>
      <c r="B6" s="2" t="s">
        <v>17</v>
      </c>
      <c r="C6" s="2" t="s">
        <v>18</v>
      </c>
      <c r="D6" s="2" t="s">
        <v>19</v>
      </c>
    </row>
    <row r="7" spans="1:9" ht="51.75" customHeight="1" x14ac:dyDescent="0.3">
      <c r="A7">
        <v>5</v>
      </c>
      <c r="B7" s="6" t="s">
        <v>20</v>
      </c>
      <c r="C7" s="7" t="s">
        <v>21</v>
      </c>
      <c r="D7" s="8" t="s">
        <v>22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2E2D9-350C-432E-A512-5D8538E6D333}">
  <dimension ref="A1:T27"/>
  <sheetViews>
    <sheetView tabSelected="1" workbookViewId="0">
      <pane xSplit="4" ySplit="2" topLeftCell="F3" activePane="bottomRight" state="frozen"/>
      <selection pane="topRight" activeCell="E1" sqref="E1"/>
      <selection pane="bottomLeft" activeCell="A3" sqref="A3"/>
      <selection pane="bottomRight" activeCell="F4" sqref="F4"/>
    </sheetView>
  </sheetViews>
  <sheetFormatPr defaultRowHeight="14.4" x14ac:dyDescent="0.3"/>
  <cols>
    <col min="1" max="1" width="11" hidden="1" customWidth="1"/>
    <col min="2" max="2" width="28.33203125" customWidth="1"/>
    <col min="3" max="3" width="33.44140625" customWidth="1"/>
    <col min="4" max="4" width="28.33203125" customWidth="1"/>
    <col min="5" max="5" width="17.109375" customWidth="1"/>
    <col min="6" max="6" width="13.33203125" bestFit="1" customWidth="1"/>
    <col min="7" max="7" width="14.44140625" style="70" bestFit="1" customWidth="1"/>
    <col min="8" max="8" width="16.109375" customWidth="1"/>
    <col min="9" max="9" width="12.88671875" customWidth="1"/>
    <col min="10" max="10" width="17" customWidth="1"/>
    <col min="11" max="11" width="16.109375" customWidth="1"/>
    <col min="12" max="12" width="14.5546875" customWidth="1"/>
    <col min="13" max="13" width="13.6640625" customWidth="1"/>
    <col min="14" max="15" width="30.88671875" customWidth="1"/>
    <col min="17" max="17" width="10" bestFit="1" customWidth="1"/>
    <col min="18" max="18" width="12.44140625" customWidth="1"/>
    <col min="19" max="19" width="24.109375" customWidth="1"/>
    <col min="20" max="20" width="8.5546875" bestFit="1" customWidth="1"/>
  </cols>
  <sheetData>
    <row r="1" spans="2:20" ht="16.8" x14ac:dyDescent="0.3">
      <c r="B1" s="39" t="s">
        <v>1</v>
      </c>
      <c r="C1" s="39" t="s">
        <v>2</v>
      </c>
      <c r="D1" s="39" t="s">
        <v>3</v>
      </c>
      <c r="F1" s="77" t="s">
        <v>23</v>
      </c>
      <c r="G1" s="74"/>
      <c r="H1" s="74"/>
      <c r="I1" s="74"/>
      <c r="J1" s="74"/>
      <c r="K1" s="78" t="s">
        <v>24</v>
      </c>
      <c r="L1" s="78"/>
      <c r="M1" s="78"/>
      <c r="N1" s="78"/>
      <c r="O1" s="78"/>
      <c r="P1" s="74" t="s">
        <v>25</v>
      </c>
      <c r="Q1" s="74"/>
      <c r="R1" s="74"/>
      <c r="S1" s="74"/>
      <c r="T1" s="75"/>
    </row>
    <row r="2" spans="2:20" ht="33.6" x14ac:dyDescent="0.3">
      <c r="B2" s="76" t="s">
        <v>0</v>
      </c>
      <c r="C2" s="76"/>
      <c r="D2" s="76"/>
      <c r="E2" s="49" t="s">
        <v>26</v>
      </c>
      <c r="F2" s="40" t="s">
        <v>4</v>
      </c>
      <c r="G2" s="68" t="s">
        <v>5</v>
      </c>
      <c r="H2" s="40" t="s">
        <v>27</v>
      </c>
      <c r="I2" s="40" t="s">
        <v>28</v>
      </c>
      <c r="J2" s="40" t="s">
        <v>29</v>
      </c>
      <c r="K2" s="42" t="s">
        <v>4</v>
      </c>
      <c r="L2" s="42" t="s">
        <v>5</v>
      </c>
      <c r="M2" s="42" t="s">
        <v>30</v>
      </c>
      <c r="N2" s="42" t="s">
        <v>7</v>
      </c>
      <c r="O2" s="42" t="s">
        <v>29</v>
      </c>
      <c r="P2" s="40" t="s">
        <v>4</v>
      </c>
      <c r="Q2" s="40" t="s">
        <v>5</v>
      </c>
      <c r="R2" s="40" t="s">
        <v>30</v>
      </c>
      <c r="S2" s="40" t="s">
        <v>7</v>
      </c>
      <c r="T2" s="40" t="s">
        <v>29</v>
      </c>
    </row>
    <row r="3" spans="2:20" ht="33.6" x14ac:dyDescent="0.3">
      <c r="B3" s="60" t="s">
        <v>8</v>
      </c>
      <c r="C3" s="60" t="s">
        <v>9</v>
      </c>
      <c r="D3" s="60" t="s">
        <v>10</v>
      </c>
      <c r="E3" s="60" t="s">
        <v>31</v>
      </c>
      <c r="F3" s="69">
        <v>82</v>
      </c>
      <c r="G3" s="69">
        <f>222/260*100</f>
        <v>85.384615384615387</v>
      </c>
      <c r="H3" s="69">
        <f>76/91*100</f>
        <v>83.516483516483518</v>
      </c>
      <c r="I3" s="69">
        <f>76/91*100</f>
        <v>83.516483516483518</v>
      </c>
      <c r="J3" s="69">
        <f>20/34*100</f>
        <v>58.82352941176471</v>
      </c>
      <c r="K3" s="69">
        <v>81</v>
      </c>
      <c r="L3" s="69">
        <f>222/260*100</f>
        <v>85.384615384615387</v>
      </c>
      <c r="M3" s="69">
        <f>76/91*100</f>
        <v>83.516483516483518</v>
      </c>
      <c r="N3" s="69">
        <f>76/91*100</f>
        <v>83.516483516483518</v>
      </c>
      <c r="O3" s="22">
        <f>20/34*100</f>
        <v>58.82352941176471</v>
      </c>
      <c r="P3" s="22">
        <v>81</v>
      </c>
      <c r="Q3" s="22">
        <f>222/260*100</f>
        <v>85.384615384615387</v>
      </c>
      <c r="R3" s="22">
        <f>76/91*100</f>
        <v>83.516483516483518</v>
      </c>
      <c r="S3" s="22">
        <f>76/91*100</f>
        <v>83.516483516483518</v>
      </c>
      <c r="T3" s="22">
        <f>20/34*100</f>
        <v>58.82352941176471</v>
      </c>
    </row>
    <row r="4" spans="2:20" ht="33.6" x14ac:dyDescent="0.3">
      <c r="B4" s="60" t="s">
        <v>11</v>
      </c>
      <c r="C4" s="60" t="s">
        <v>12</v>
      </c>
      <c r="D4" s="60" t="s">
        <v>13</v>
      </c>
      <c r="E4" s="22"/>
      <c r="F4" s="57">
        <v>1</v>
      </c>
      <c r="G4" s="57">
        <v>1</v>
      </c>
      <c r="H4" s="57">
        <v>1</v>
      </c>
      <c r="I4" s="57">
        <v>1</v>
      </c>
      <c r="J4" s="57">
        <v>1</v>
      </c>
      <c r="K4" s="57">
        <v>1</v>
      </c>
      <c r="L4" s="57">
        <v>1</v>
      </c>
      <c r="M4" s="57">
        <v>1</v>
      </c>
      <c r="N4" s="57">
        <v>1</v>
      </c>
      <c r="O4" s="57">
        <v>1</v>
      </c>
      <c r="P4" s="57">
        <v>1</v>
      </c>
      <c r="Q4" s="57">
        <v>1</v>
      </c>
      <c r="R4" s="57">
        <v>1</v>
      </c>
      <c r="S4" s="57">
        <v>1</v>
      </c>
      <c r="T4" s="57">
        <v>1</v>
      </c>
    </row>
    <row r="5" spans="2:20" ht="33.6" x14ac:dyDescent="0.3">
      <c r="B5" s="60" t="s">
        <v>14</v>
      </c>
      <c r="C5" s="60" t="s">
        <v>277</v>
      </c>
      <c r="D5" s="60" t="s">
        <v>16</v>
      </c>
      <c r="E5" s="22"/>
      <c r="F5" s="22">
        <v>2</v>
      </c>
      <c r="G5" s="22">
        <v>5</v>
      </c>
      <c r="H5" s="22">
        <v>2</v>
      </c>
      <c r="I5" s="22">
        <v>2</v>
      </c>
      <c r="J5" s="22">
        <v>2</v>
      </c>
      <c r="K5" s="22">
        <v>2</v>
      </c>
      <c r="L5" s="22">
        <v>7</v>
      </c>
      <c r="M5" s="22">
        <v>2</v>
      </c>
      <c r="N5" s="22">
        <v>2</v>
      </c>
      <c r="O5" s="22">
        <v>2</v>
      </c>
      <c r="P5" s="22">
        <v>2</v>
      </c>
      <c r="Q5" s="22">
        <v>6</v>
      </c>
      <c r="R5" s="22">
        <v>2</v>
      </c>
      <c r="S5" s="22">
        <v>2</v>
      </c>
      <c r="T5" s="22">
        <v>2</v>
      </c>
    </row>
    <row r="6" spans="2:20" ht="33.6" x14ac:dyDescent="0.3">
      <c r="B6" s="60" t="s">
        <v>17</v>
      </c>
      <c r="C6" s="60" t="s">
        <v>18</v>
      </c>
      <c r="D6" s="60" t="s">
        <v>19</v>
      </c>
      <c r="E6" s="22"/>
      <c r="F6" s="69">
        <f>F26/(21*F27)*100</f>
        <v>120.31098153547133</v>
      </c>
      <c r="G6" s="69">
        <f t="shared" ref="G6:T6" si="0">G26/(21*G27)*100</f>
        <v>106.5867635189669</v>
      </c>
      <c r="H6" s="69">
        <f t="shared" si="0"/>
        <v>100.23809523809524</v>
      </c>
      <c r="I6" s="69">
        <f t="shared" si="0"/>
        <v>124.54212454212454</v>
      </c>
      <c r="J6" s="69">
        <f t="shared" si="0"/>
        <v>121.21212121212122</v>
      </c>
      <c r="K6" s="69">
        <f>K26/(20*K27)*100</f>
        <v>118.06818181818181</v>
      </c>
      <c r="L6" s="69">
        <f t="shared" ref="L6:O6" si="1">L26/(20*L27)*100</f>
        <v>91.949152542372886</v>
      </c>
      <c r="M6" s="69">
        <f t="shared" si="1"/>
        <v>114.61538461538461</v>
      </c>
      <c r="N6" s="69">
        <f t="shared" si="1"/>
        <v>103.75000000000001</v>
      </c>
      <c r="O6" s="69">
        <f t="shared" si="1"/>
        <v>145</v>
      </c>
      <c r="P6" s="69">
        <f t="shared" si="0"/>
        <v>113.62126245847175</v>
      </c>
      <c r="Q6" s="69">
        <f t="shared" si="0"/>
        <v>99.206349206349216</v>
      </c>
      <c r="R6" s="69">
        <f t="shared" si="0"/>
        <v>106.34920634920636</v>
      </c>
      <c r="S6" s="69">
        <f t="shared" si="0"/>
        <v>105</v>
      </c>
      <c r="T6" s="69">
        <f t="shared" si="0"/>
        <v>108.65800865800865</v>
      </c>
    </row>
    <row r="7" spans="2:20" ht="57.6" x14ac:dyDescent="0.3">
      <c r="B7" s="60" t="s">
        <v>20</v>
      </c>
      <c r="C7" s="56" t="s">
        <v>21</v>
      </c>
      <c r="D7" s="60" t="s">
        <v>22</v>
      </c>
      <c r="E7" s="22"/>
      <c r="F7" s="57">
        <f>(F25-F26)/(F25)</f>
        <v>7.4738415545590436E-2</v>
      </c>
      <c r="G7" s="57">
        <f>(G25-G26)/(G25)</f>
        <v>3.7456268221574419E-2</v>
      </c>
      <c r="H7" s="57">
        <f t="shared" ref="H7:T7" si="2">(H25-H26)/(H25)</f>
        <v>0</v>
      </c>
      <c r="I7" s="57">
        <f t="shared" si="2"/>
        <v>0</v>
      </c>
      <c r="J7" s="57">
        <f t="shared" si="2"/>
        <v>0</v>
      </c>
      <c r="K7" s="57">
        <f t="shared" si="2"/>
        <v>0.10662080825451418</v>
      </c>
      <c r="L7" s="57">
        <f t="shared" si="2"/>
        <v>8.050847457627118E-2</v>
      </c>
      <c r="M7" s="57">
        <f t="shared" si="2"/>
        <v>0</v>
      </c>
      <c r="N7" s="57">
        <f t="shared" si="2"/>
        <v>0</v>
      </c>
      <c r="O7" s="57">
        <f t="shared" si="2"/>
        <v>0</v>
      </c>
      <c r="P7" s="57">
        <f t="shared" si="2"/>
        <v>0.12977099236641221</v>
      </c>
      <c r="Q7" s="57">
        <f t="shared" si="2"/>
        <v>0.11909795630725863</v>
      </c>
      <c r="R7" s="57">
        <f t="shared" si="2"/>
        <v>0</v>
      </c>
      <c r="S7" s="57">
        <f t="shared" si="2"/>
        <v>0</v>
      </c>
      <c r="T7" s="57">
        <f t="shared" si="2"/>
        <v>0</v>
      </c>
    </row>
    <row r="8" spans="2:20" x14ac:dyDescent="0.3">
      <c r="B8" s="76" t="s">
        <v>32</v>
      </c>
      <c r="C8" s="76"/>
      <c r="D8" s="76"/>
      <c r="E8" s="22"/>
      <c r="F8" s="22"/>
      <c r="H8" s="22"/>
      <c r="I8" s="22"/>
      <c r="J8" s="22"/>
      <c r="K8" s="44"/>
      <c r="L8" s="44"/>
      <c r="M8" s="44"/>
      <c r="N8" s="44"/>
      <c r="O8" s="44"/>
      <c r="P8" s="22"/>
      <c r="Q8" s="22"/>
      <c r="R8" s="22"/>
      <c r="S8" s="22"/>
      <c r="T8" s="22"/>
    </row>
    <row r="9" spans="2:20" ht="16.8" x14ac:dyDescent="0.3">
      <c r="B9" s="65" t="s">
        <v>33</v>
      </c>
      <c r="C9" s="60" t="s">
        <v>34</v>
      </c>
      <c r="D9" s="61" t="s">
        <v>274</v>
      </c>
      <c r="E9" s="22"/>
      <c r="F9" s="22"/>
      <c r="G9" s="69">
        <v>0.26</v>
      </c>
      <c r="H9" s="22"/>
      <c r="I9" s="22"/>
      <c r="J9" s="22"/>
      <c r="K9" s="44"/>
      <c r="L9" s="44">
        <v>0.3</v>
      </c>
      <c r="M9" s="44"/>
      <c r="N9" s="44"/>
      <c r="O9" s="44"/>
      <c r="P9" s="22">
        <v>0.11</v>
      </c>
      <c r="Q9" s="22">
        <v>0.17</v>
      </c>
      <c r="R9" s="22">
        <v>0.11</v>
      </c>
      <c r="S9" s="22"/>
      <c r="T9" s="22">
        <v>0.11</v>
      </c>
    </row>
    <row r="10" spans="2:20" ht="33.6" x14ac:dyDescent="0.3">
      <c r="B10" s="65" t="s">
        <v>36</v>
      </c>
      <c r="C10" s="60" t="s">
        <v>37</v>
      </c>
      <c r="D10" s="62" t="s">
        <v>10</v>
      </c>
      <c r="E10" s="22"/>
      <c r="F10" s="22"/>
      <c r="G10" s="69"/>
      <c r="H10" s="22"/>
      <c r="I10" s="22"/>
      <c r="J10" s="22"/>
      <c r="K10" s="44"/>
      <c r="L10" s="44"/>
      <c r="M10" s="44"/>
      <c r="N10" s="44"/>
      <c r="O10" s="44"/>
      <c r="P10" s="22"/>
      <c r="Q10" s="22"/>
      <c r="R10" s="22"/>
      <c r="S10" s="22"/>
      <c r="T10" s="22"/>
    </row>
    <row r="11" spans="2:20" ht="33.6" x14ac:dyDescent="0.3">
      <c r="B11" s="65" t="s">
        <v>38</v>
      </c>
      <c r="C11" s="60" t="s">
        <v>39</v>
      </c>
      <c r="D11" s="62" t="s">
        <v>10</v>
      </c>
      <c r="E11" s="22"/>
      <c r="F11" s="57">
        <v>0.2</v>
      </c>
      <c r="G11" s="69"/>
      <c r="H11" s="22"/>
      <c r="I11" s="22"/>
      <c r="J11" s="22"/>
      <c r="K11" s="57">
        <v>0.2</v>
      </c>
      <c r="L11" s="44"/>
      <c r="M11" s="44"/>
      <c r="N11" s="44"/>
      <c r="O11" s="44"/>
      <c r="P11" s="57">
        <v>0.3</v>
      </c>
      <c r="Q11" s="22"/>
      <c r="R11" s="22"/>
      <c r="S11" s="22"/>
      <c r="T11" s="22"/>
    </row>
    <row r="12" spans="2:20" ht="33.6" x14ac:dyDescent="0.3">
      <c r="B12" s="60" t="s">
        <v>40</v>
      </c>
      <c r="C12" s="60" t="s">
        <v>41</v>
      </c>
      <c r="D12" s="63">
        <v>1</v>
      </c>
      <c r="E12" s="22"/>
      <c r="F12" s="63">
        <v>1</v>
      </c>
      <c r="G12" s="63">
        <v>1</v>
      </c>
      <c r="H12" s="63">
        <v>1</v>
      </c>
      <c r="I12" s="63">
        <v>1</v>
      </c>
      <c r="J12" s="63">
        <v>1</v>
      </c>
      <c r="K12" s="63">
        <v>1</v>
      </c>
      <c r="L12" s="63">
        <v>1</v>
      </c>
      <c r="M12" s="63">
        <v>1</v>
      </c>
      <c r="N12" s="63">
        <v>1</v>
      </c>
      <c r="O12" s="63">
        <v>1</v>
      </c>
      <c r="P12" s="63">
        <v>1</v>
      </c>
      <c r="Q12" s="63">
        <v>1</v>
      </c>
      <c r="R12" s="63">
        <v>1</v>
      </c>
      <c r="S12" s="63">
        <v>1</v>
      </c>
      <c r="T12" s="63">
        <v>1</v>
      </c>
    </row>
    <row r="13" spans="2:20" ht="33.6" x14ac:dyDescent="0.3">
      <c r="B13" s="60" t="s">
        <v>42</v>
      </c>
      <c r="C13" s="60" t="s">
        <v>278</v>
      </c>
      <c r="D13" s="62" t="s">
        <v>44</v>
      </c>
      <c r="E13" s="22"/>
      <c r="F13" s="22">
        <v>1053</v>
      </c>
      <c r="G13" s="69">
        <v>877</v>
      </c>
      <c r="H13" s="22">
        <v>658</v>
      </c>
      <c r="I13" s="22">
        <v>353</v>
      </c>
      <c r="J13" s="22">
        <v>348</v>
      </c>
      <c r="K13" s="22">
        <v>983</v>
      </c>
      <c r="L13" s="22">
        <v>827</v>
      </c>
      <c r="M13" s="22">
        <v>330</v>
      </c>
      <c r="N13" s="22">
        <v>618</v>
      </c>
      <c r="O13" s="22">
        <v>300</v>
      </c>
      <c r="P13" s="22">
        <v>912</v>
      </c>
      <c r="Q13" s="22">
        <v>770</v>
      </c>
      <c r="R13" s="22">
        <v>303</v>
      </c>
      <c r="S13" s="22">
        <v>600</v>
      </c>
      <c r="T13" s="22">
        <v>262</v>
      </c>
    </row>
    <row r="14" spans="2:20" ht="33.6" x14ac:dyDescent="0.3">
      <c r="B14" s="60" t="s">
        <v>45</v>
      </c>
      <c r="C14" s="60" t="s">
        <v>46</v>
      </c>
      <c r="D14" s="63" t="s">
        <v>279</v>
      </c>
      <c r="E14" s="22"/>
      <c r="F14" s="22">
        <v>4</v>
      </c>
      <c r="G14" s="22">
        <v>10</v>
      </c>
      <c r="H14" s="22">
        <v>9</v>
      </c>
      <c r="I14" s="22">
        <v>0</v>
      </c>
      <c r="J14" s="22">
        <v>13</v>
      </c>
      <c r="K14" s="44">
        <v>3</v>
      </c>
      <c r="L14" s="44">
        <v>6</v>
      </c>
      <c r="M14" s="44">
        <v>0</v>
      </c>
      <c r="N14" s="44">
        <v>24</v>
      </c>
      <c r="O14" s="44">
        <v>9</v>
      </c>
      <c r="P14" s="22">
        <v>0</v>
      </c>
      <c r="Q14" s="22">
        <v>8</v>
      </c>
      <c r="R14" s="22">
        <v>0</v>
      </c>
      <c r="S14" s="22">
        <v>0</v>
      </c>
      <c r="T14" s="22">
        <v>3</v>
      </c>
    </row>
    <row r="15" spans="2:20" ht="33.6" x14ac:dyDescent="0.3">
      <c r="B15" s="60" t="s">
        <v>47</v>
      </c>
      <c r="C15" s="60" t="s">
        <v>48</v>
      </c>
      <c r="D15" s="63">
        <v>1</v>
      </c>
      <c r="E15" s="22"/>
      <c r="F15" s="57">
        <v>1</v>
      </c>
      <c r="G15" s="57">
        <v>1</v>
      </c>
      <c r="H15" s="57">
        <v>1</v>
      </c>
      <c r="I15" s="57">
        <v>1</v>
      </c>
      <c r="J15" s="57">
        <v>1</v>
      </c>
      <c r="K15" s="57">
        <v>1</v>
      </c>
      <c r="L15" s="57">
        <v>1</v>
      </c>
      <c r="M15" s="57">
        <v>1</v>
      </c>
      <c r="N15" s="57">
        <v>1</v>
      </c>
      <c r="O15" s="57">
        <v>1</v>
      </c>
      <c r="P15" s="57">
        <v>1</v>
      </c>
      <c r="Q15" s="57">
        <v>1</v>
      </c>
      <c r="R15" s="57">
        <v>1</v>
      </c>
      <c r="S15" s="57">
        <v>1</v>
      </c>
      <c r="T15" s="57">
        <v>1</v>
      </c>
    </row>
    <row r="16" spans="2:20" x14ac:dyDescent="0.3">
      <c r="B16" s="76" t="s">
        <v>49</v>
      </c>
      <c r="C16" s="76"/>
      <c r="D16" s="76"/>
      <c r="E16" s="22"/>
      <c r="F16" s="22"/>
      <c r="G16" s="22"/>
      <c r="H16" s="22"/>
      <c r="I16" s="22"/>
      <c r="J16" s="22"/>
      <c r="K16" s="44"/>
      <c r="L16" s="44"/>
      <c r="M16" s="44"/>
      <c r="N16" s="44"/>
      <c r="O16" s="44"/>
      <c r="P16" s="22"/>
      <c r="Q16" s="22"/>
      <c r="R16" s="22"/>
      <c r="S16" s="22"/>
      <c r="T16" s="22"/>
    </row>
    <row r="17" spans="1:20" ht="33.6" x14ac:dyDescent="0.3">
      <c r="B17" s="60" t="s">
        <v>50</v>
      </c>
      <c r="C17" s="60" t="s">
        <v>51</v>
      </c>
      <c r="D17" s="60" t="s">
        <v>52</v>
      </c>
      <c r="E17" s="60" t="s">
        <v>53</v>
      </c>
      <c r="F17" s="57">
        <v>1</v>
      </c>
      <c r="G17" s="57">
        <v>1</v>
      </c>
      <c r="H17" s="57">
        <v>1</v>
      </c>
      <c r="I17" s="57">
        <v>1</v>
      </c>
      <c r="J17" s="57">
        <v>1</v>
      </c>
      <c r="K17" s="57">
        <v>1</v>
      </c>
      <c r="L17" s="57">
        <v>1</v>
      </c>
      <c r="M17" s="57">
        <v>1</v>
      </c>
      <c r="N17" s="58" t="s">
        <v>54</v>
      </c>
      <c r="O17" s="57">
        <v>1</v>
      </c>
      <c r="P17" s="57">
        <v>1</v>
      </c>
      <c r="Q17" s="58" t="s">
        <v>55</v>
      </c>
      <c r="R17" s="57">
        <v>1</v>
      </c>
      <c r="S17" s="58" t="s">
        <v>56</v>
      </c>
      <c r="T17" s="57">
        <v>1</v>
      </c>
    </row>
    <row r="18" spans="1:20" ht="33.6" x14ac:dyDescent="0.3">
      <c r="B18" s="60" t="s">
        <v>57</v>
      </c>
      <c r="C18" s="60" t="s">
        <v>58</v>
      </c>
      <c r="D18" s="60" t="s">
        <v>59</v>
      </c>
      <c r="E18" s="60" t="s">
        <v>60</v>
      </c>
      <c r="F18" s="57">
        <v>0.65</v>
      </c>
      <c r="G18" s="57">
        <v>0.66</v>
      </c>
      <c r="H18" s="57">
        <v>0.7</v>
      </c>
      <c r="I18" s="57">
        <v>0.82</v>
      </c>
      <c r="J18" s="57">
        <v>0.85</v>
      </c>
      <c r="K18" s="57">
        <v>0.8</v>
      </c>
      <c r="L18" s="66">
        <v>0.78</v>
      </c>
      <c r="M18" s="66">
        <v>0.88</v>
      </c>
      <c r="N18" s="66">
        <v>0.73</v>
      </c>
      <c r="O18" s="66">
        <v>0.9</v>
      </c>
      <c r="P18" s="57">
        <v>0.71</v>
      </c>
      <c r="Q18" s="57">
        <v>0.66</v>
      </c>
      <c r="R18" s="57">
        <v>0.84</v>
      </c>
      <c r="S18" s="57">
        <v>0.77</v>
      </c>
      <c r="T18" s="57">
        <v>0.82</v>
      </c>
    </row>
    <row r="19" spans="1:20" ht="43.8" thickBot="1" x14ac:dyDescent="0.35">
      <c r="B19" s="60" t="s">
        <v>61</v>
      </c>
      <c r="C19" s="60" t="s">
        <v>62</v>
      </c>
      <c r="D19" s="60" t="s">
        <v>63</v>
      </c>
      <c r="E19" s="60" t="s">
        <v>53</v>
      </c>
      <c r="F19" s="56" t="s">
        <v>64</v>
      </c>
      <c r="G19" s="56" t="s">
        <v>64</v>
      </c>
      <c r="H19" s="56" t="s">
        <v>64</v>
      </c>
      <c r="I19" s="56" t="s">
        <v>64</v>
      </c>
      <c r="J19" s="56" t="s">
        <v>64</v>
      </c>
      <c r="K19" s="56" t="s">
        <v>64</v>
      </c>
      <c r="L19" s="56" t="s">
        <v>64</v>
      </c>
      <c r="M19" s="56" t="s">
        <v>64</v>
      </c>
      <c r="N19" s="56" t="s">
        <v>64</v>
      </c>
      <c r="O19" s="56" t="s">
        <v>64</v>
      </c>
      <c r="P19" s="56" t="s">
        <v>64</v>
      </c>
      <c r="Q19" s="56" t="s">
        <v>64</v>
      </c>
      <c r="R19" s="56" t="s">
        <v>64</v>
      </c>
      <c r="S19" s="56" t="s">
        <v>64</v>
      </c>
      <c r="T19" s="56" t="s">
        <v>64</v>
      </c>
    </row>
    <row r="20" spans="1:20" ht="51" thickBot="1" x14ac:dyDescent="0.35">
      <c r="A20" s="59" t="s">
        <v>65</v>
      </c>
      <c r="B20" s="60" t="s">
        <v>66</v>
      </c>
      <c r="C20" s="60" t="s">
        <v>67</v>
      </c>
      <c r="D20" s="60" t="s">
        <v>63</v>
      </c>
      <c r="E20" s="60" t="s">
        <v>53</v>
      </c>
      <c r="F20" s="56" t="s">
        <v>64</v>
      </c>
      <c r="G20" s="56" t="s">
        <v>64</v>
      </c>
      <c r="H20" s="56" t="s">
        <v>68</v>
      </c>
      <c r="I20" s="56" t="s">
        <v>64</v>
      </c>
      <c r="J20" s="56" t="s">
        <v>64</v>
      </c>
      <c r="K20" s="56" t="s">
        <v>64</v>
      </c>
      <c r="L20" s="56" t="s">
        <v>64</v>
      </c>
      <c r="M20" s="56" t="s">
        <v>69</v>
      </c>
      <c r="N20" s="56" t="s">
        <v>64</v>
      </c>
      <c r="O20" s="56" t="s">
        <v>64</v>
      </c>
      <c r="P20" s="56" t="s">
        <v>64</v>
      </c>
      <c r="Q20" s="56" t="s">
        <v>70</v>
      </c>
      <c r="R20" s="56" t="s">
        <v>64</v>
      </c>
      <c r="S20" s="56" t="s">
        <v>71</v>
      </c>
      <c r="T20" s="56" t="s">
        <v>64</v>
      </c>
    </row>
    <row r="21" spans="1:20" ht="33.6" x14ac:dyDescent="0.3">
      <c r="B21" s="60" t="s">
        <v>72</v>
      </c>
      <c r="C21" s="60" t="s">
        <v>73</v>
      </c>
      <c r="D21" s="60" t="s">
        <v>74</v>
      </c>
      <c r="E21" s="60" t="s">
        <v>53</v>
      </c>
      <c r="F21" s="22" t="s">
        <v>75</v>
      </c>
      <c r="G21" s="22" t="s">
        <v>75</v>
      </c>
      <c r="H21" s="22" t="s">
        <v>76</v>
      </c>
      <c r="I21" s="22" t="s">
        <v>75</v>
      </c>
      <c r="J21" s="22" t="s">
        <v>75</v>
      </c>
      <c r="K21" s="22" t="s">
        <v>75</v>
      </c>
      <c r="L21" s="22" t="s">
        <v>75</v>
      </c>
      <c r="M21" s="22" t="s">
        <v>77</v>
      </c>
      <c r="N21" s="22" t="s">
        <v>75</v>
      </c>
      <c r="O21" s="22" t="s">
        <v>75</v>
      </c>
      <c r="P21" s="22" t="s">
        <v>75</v>
      </c>
      <c r="Q21" s="22" t="s">
        <v>78</v>
      </c>
      <c r="R21" s="22" t="s">
        <v>75</v>
      </c>
      <c r="S21" s="22" t="s">
        <v>75</v>
      </c>
      <c r="T21" s="22" t="s">
        <v>75</v>
      </c>
    </row>
    <row r="22" spans="1:20" x14ac:dyDescent="0.3">
      <c r="B22" s="64" t="s">
        <v>79</v>
      </c>
      <c r="C22" s="64"/>
      <c r="D22" s="64"/>
      <c r="E22" s="22"/>
      <c r="F22" s="22"/>
      <c r="G22" s="22"/>
      <c r="H22" s="22"/>
      <c r="I22" s="22"/>
      <c r="J22" s="22"/>
      <c r="K22" s="44"/>
      <c r="L22" s="44"/>
      <c r="M22" s="44"/>
      <c r="N22" s="44"/>
      <c r="O22" s="44"/>
      <c r="P22" s="22"/>
      <c r="Q22" s="22"/>
      <c r="R22" s="22"/>
      <c r="S22" s="22"/>
      <c r="T22" s="22"/>
    </row>
    <row r="23" spans="1:20" ht="33.6" x14ac:dyDescent="0.3">
      <c r="B23" s="60" t="s">
        <v>80</v>
      </c>
      <c r="C23" s="60" t="s">
        <v>81</v>
      </c>
      <c r="D23" s="60" t="s">
        <v>82</v>
      </c>
      <c r="E23" s="60" t="s">
        <v>83</v>
      </c>
      <c r="F23" s="41">
        <v>1297676.0810871201</v>
      </c>
      <c r="G23" s="22">
        <v>1269233.94569361</v>
      </c>
      <c r="H23" s="41">
        <v>4073488.2036411702</v>
      </c>
      <c r="I23" s="41">
        <v>485023.86126274301</v>
      </c>
      <c r="J23" s="41">
        <v>357792.44807501102</v>
      </c>
      <c r="K23" s="43">
        <v>1351494.1408470799</v>
      </c>
      <c r="L23" s="43">
        <v>1516791.6682972501</v>
      </c>
      <c r="M23" s="43">
        <v>423132.87250676699</v>
      </c>
      <c r="N23" s="43">
        <v>3997524.42688584</v>
      </c>
      <c r="O23" s="43">
        <v>465743.82985138497</v>
      </c>
      <c r="P23" s="22"/>
      <c r="Q23" s="22"/>
      <c r="R23" s="22"/>
      <c r="S23" s="22"/>
    </row>
    <row r="24" spans="1:20" x14ac:dyDescent="0.3">
      <c r="B24" s="22" t="s">
        <v>84</v>
      </c>
      <c r="C24" s="22"/>
      <c r="D24" s="22"/>
      <c r="E24" s="22" t="s">
        <v>31</v>
      </c>
      <c r="F24" s="50">
        <v>9100</v>
      </c>
      <c r="G24" s="71">
        <v>10424</v>
      </c>
      <c r="H24" s="50">
        <v>12933</v>
      </c>
      <c r="I24" s="50">
        <v>7954</v>
      </c>
      <c r="J24" s="51">
        <v>6926</v>
      </c>
      <c r="K24" s="45">
        <v>9795.9532550000004</v>
      </c>
      <c r="L24" s="46">
        <v>12687.8959</v>
      </c>
      <c r="M24" s="45">
        <v>13120.48193</v>
      </c>
      <c r="N24" s="52">
        <v>9621.83</v>
      </c>
      <c r="O24" s="46"/>
      <c r="P24" s="52">
        <v>9421.8349560000006</v>
      </c>
      <c r="Q24" s="53">
        <v>10863.34655</v>
      </c>
      <c r="R24" s="52">
        <v>12357.716479999999</v>
      </c>
      <c r="S24" s="53">
        <v>8004.8758760000001</v>
      </c>
      <c r="T24" s="52">
        <v>7748</v>
      </c>
    </row>
    <row r="25" spans="1:20" ht="16.8" x14ac:dyDescent="0.3">
      <c r="B25" s="60" t="s">
        <v>275</v>
      </c>
      <c r="C25" s="22"/>
      <c r="D25" s="22"/>
      <c r="E25" s="22" t="s">
        <v>31</v>
      </c>
      <c r="F25" s="51">
        <v>1338</v>
      </c>
      <c r="G25" s="54">
        <v>1372</v>
      </c>
      <c r="H25" s="55">
        <v>421</v>
      </c>
      <c r="I25" s="55">
        <v>340</v>
      </c>
      <c r="J25" s="54">
        <v>280</v>
      </c>
      <c r="K25" s="44">
        <v>1163</v>
      </c>
      <c r="L25" s="47">
        <v>1180</v>
      </c>
      <c r="M25" s="44">
        <v>298</v>
      </c>
      <c r="N25" s="48">
        <v>415</v>
      </c>
      <c r="O25" s="44">
        <v>319</v>
      </c>
      <c r="P25" s="22">
        <v>1179</v>
      </c>
      <c r="Q25" s="54">
        <v>1419</v>
      </c>
      <c r="R25" s="22">
        <v>268</v>
      </c>
      <c r="S25" s="55">
        <v>441</v>
      </c>
      <c r="T25" s="22">
        <v>251</v>
      </c>
    </row>
    <row r="26" spans="1:20" ht="16.8" x14ac:dyDescent="0.3">
      <c r="B26" s="60" t="s">
        <v>276</v>
      </c>
      <c r="C26" s="22"/>
      <c r="D26" s="22"/>
      <c r="E26" s="22"/>
      <c r="F26" s="51">
        <v>1238</v>
      </c>
      <c r="G26" s="54">
        <v>1320.61</v>
      </c>
      <c r="H26" s="55">
        <v>421</v>
      </c>
      <c r="I26" s="55">
        <v>340</v>
      </c>
      <c r="J26" s="54">
        <v>280</v>
      </c>
      <c r="K26" s="44">
        <v>1039</v>
      </c>
      <c r="L26" s="47">
        <v>1085</v>
      </c>
      <c r="M26" s="44">
        <v>298</v>
      </c>
      <c r="N26" s="48">
        <v>415</v>
      </c>
      <c r="O26" s="44">
        <v>319</v>
      </c>
      <c r="P26" s="22">
        <v>1026</v>
      </c>
      <c r="Q26" s="54">
        <v>1250</v>
      </c>
      <c r="R26" s="22">
        <v>268</v>
      </c>
      <c r="S26" s="55">
        <v>441</v>
      </c>
      <c r="T26" s="22">
        <v>251</v>
      </c>
    </row>
    <row r="27" spans="1:20" ht="16.8" x14ac:dyDescent="0.3">
      <c r="B27" s="60" t="s">
        <v>85</v>
      </c>
      <c r="C27" s="22"/>
      <c r="D27" s="22"/>
      <c r="E27" s="22"/>
      <c r="F27" s="22">
        <v>49</v>
      </c>
      <c r="G27" s="22">
        <v>59</v>
      </c>
      <c r="H27" s="22">
        <v>20</v>
      </c>
      <c r="I27" s="22">
        <v>13</v>
      </c>
      <c r="J27" s="22">
        <v>11</v>
      </c>
      <c r="K27" s="22">
        <v>44</v>
      </c>
      <c r="L27" s="44">
        <v>59</v>
      </c>
      <c r="M27" s="44">
        <v>13</v>
      </c>
      <c r="N27" s="44">
        <v>20</v>
      </c>
      <c r="O27" s="44">
        <v>11</v>
      </c>
      <c r="P27" s="22">
        <v>43</v>
      </c>
      <c r="Q27" s="22">
        <v>60</v>
      </c>
      <c r="R27" s="22">
        <v>12</v>
      </c>
      <c r="S27" s="22">
        <v>20</v>
      </c>
      <c r="T27" s="22">
        <v>11</v>
      </c>
    </row>
  </sheetData>
  <mergeCells count="6">
    <mergeCell ref="P1:T1"/>
    <mergeCell ref="B2:D2"/>
    <mergeCell ref="B8:D8"/>
    <mergeCell ref="B16:D16"/>
    <mergeCell ref="F1:J1"/>
    <mergeCell ref="K1:O1"/>
  </mergeCells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FC4C4-E4B0-4EBC-9376-DA6FE1B7C1C9}">
  <dimension ref="A1:K17"/>
  <sheetViews>
    <sheetView workbookViewId="0">
      <selection activeCell="D17" sqref="D17"/>
    </sheetView>
  </sheetViews>
  <sheetFormatPr defaultRowHeight="14.4" x14ac:dyDescent="0.3"/>
  <cols>
    <col min="1" max="1" width="22.33203125" customWidth="1"/>
    <col min="3" max="3" width="13.109375" customWidth="1"/>
    <col min="4" max="4" width="12.5546875" customWidth="1"/>
    <col min="6" max="6" width="13" customWidth="1"/>
  </cols>
  <sheetData>
    <row r="1" spans="1:11" x14ac:dyDescent="0.3">
      <c r="B1" t="s">
        <v>264</v>
      </c>
      <c r="C1" t="s">
        <v>272</v>
      </c>
      <c r="G1" t="s">
        <v>264</v>
      </c>
      <c r="H1" t="s">
        <v>272</v>
      </c>
    </row>
    <row r="2" spans="1:11" x14ac:dyDescent="0.3">
      <c r="A2" s="72" t="s">
        <v>263</v>
      </c>
      <c r="B2">
        <v>52</v>
      </c>
      <c r="C2">
        <v>10</v>
      </c>
      <c r="D2">
        <f>C2/B2*100</f>
        <v>19.230769230769234</v>
      </c>
    </row>
    <row r="3" spans="1:11" x14ac:dyDescent="0.3">
      <c r="A3" t="s">
        <v>265</v>
      </c>
      <c r="B3">
        <v>90</v>
      </c>
      <c r="C3">
        <v>75</v>
      </c>
      <c r="D3">
        <f t="shared" ref="D3:D11" si="0">C3/B3*100</f>
        <v>83.333333333333343</v>
      </c>
      <c r="F3" t="s">
        <v>280</v>
      </c>
    </row>
    <row r="4" spans="1:11" x14ac:dyDescent="0.3">
      <c r="A4" s="73" t="s">
        <v>266</v>
      </c>
      <c r="B4">
        <v>9</v>
      </c>
      <c r="C4">
        <v>0</v>
      </c>
      <c r="D4">
        <f t="shared" si="0"/>
        <v>0</v>
      </c>
      <c r="K4">
        <f>59*20</f>
        <v>1180</v>
      </c>
    </row>
    <row r="5" spans="1:11" x14ac:dyDescent="0.3">
      <c r="A5" t="s">
        <v>267</v>
      </c>
      <c r="B5">
        <v>51</v>
      </c>
      <c r="C5">
        <v>37</v>
      </c>
      <c r="D5">
        <f t="shared" si="0"/>
        <v>72.549019607843135</v>
      </c>
    </row>
    <row r="6" spans="1:11" x14ac:dyDescent="0.3">
      <c r="A6" s="72" t="s">
        <v>268</v>
      </c>
      <c r="B6">
        <v>51</v>
      </c>
      <c r="C6">
        <v>15</v>
      </c>
      <c r="D6">
        <f t="shared" si="0"/>
        <v>29.411764705882355</v>
      </c>
      <c r="K6">
        <v>1085</v>
      </c>
    </row>
    <row r="7" spans="1:11" x14ac:dyDescent="0.3">
      <c r="A7" s="72" t="s">
        <v>273</v>
      </c>
      <c r="B7">
        <v>37</v>
      </c>
      <c r="C7">
        <v>0</v>
      </c>
      <c r="D7">
        <f t="shared" si="0"/>
        <v>0</v>
      </c>
    </row>
    <row r="8" spans="1:11" x14ac:dyDescent="0.3">
      <c r="A8" s="67" t="s">
        <v>269</v>
      </c>
      <c r="B8">
        <v>35</v>
      </c>
      <c r="C8">
        <v>19</v>
      </c>
      <c r="D8">
        <f t="shared" si="0"/>
        <v>54.285714285714285</v>
      </c>
    </row>
    <row r="9" spans="1:11" x14ac:dyDescent="0.3">
      <c r="A9" s="67" t="s">
        <v>270</v>
      </c>
      <c r="B9">
        <v>33</v>
      </c>
      <c r="C9">
        <v>27</v>
      </c>
      <c r="D9">
        <f t="shared" si="0"/>
        <v>81.818181818181827</v>
      </c>
      <c r="K9">
        <f>K4-K6</f>
        <v>95</v>
      </c>
    </row>
    <row r="10" spans="1:11" x14ac:dyDescent="0.3">
      <c r="A10" s="67" t="s">
        <v>271</v>
      </c>
      <c r="B10">
        <v>16</v>
      </c>
      <c r="C10">
        <v>14</v>
      </c>
      <c r="D10">
        <f t="shared" si="0"/>
        <v>87.5</v>
      </c>
    </row>
    <row r="11" spans="1:11" x14ac:dyDescent="0.3">
      <c r="B11">
        <f>SUM(B2:B10)</f>
        <v>374</v>
      </c>
      <c r="C11">
        <f>SUM(C2:C10)</f>
        <v>197</v>
      </c>
      <c r="D11">
        <f t="shared" si="0"/>
        <v>52.673796791443849</v>
      </c>
    </row>
    <row r="17" spans="4:6" x14ac:dyDescent="0.3">
      <c r="D17" s="50">
        <v>7943</v>
      </c>
      <c r="E17" s="51">
        <v>1238</v>
      </c>
      <c r="F17">
        <f>D17*E17</f>
        <v>9833434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C9165-2819-46AC-86FA-CF7C861FB8B3}">
  <dimension ref="A1:E9"/>
  <sheetViews>
    <sheetView workbookViewId="0">
      <selection activeCell="B3" sqref="B3:D9"/>
    </sheetView>
  </sheetViews>
  <sheetFormatPr defaultRowHeight="14.4" x14ac:dyDescent="0.3"/>
  <cols>
    <col min="2" max="2" width="26.44140625" customWidth="1"/>
    <col min="3" max="3" width="28.88671875" customWidth="1"/>
    <col min="4" max="4" width="33.6640625" customWidth="1"/>
    <col min="5" max="5" width="13.5546875" bestFit="1" customWidth="1"/>
  </cols>
  <sheetData>
    <row r="1" spans="1:5" ht="15" thickBot="1" x14ac:dyDescent="0.35">
      <c r="A1" s="79" t="s">
        <v>32</v>
      </c>
      <c r="B1" s="79"/>
      <c r="C1" s="79"/>
      <c r="D1" s="79"/>
    </row>
    <row r="2" spans="1:5" ht="17.399999999999999" thickBot="1" x14ac:dyDescent="0.35">
      <c r="B2" s="1" t="s">
        <v>1</v>
      </c>
      <c r="C2" s="1" t="s">
        <v>2</v>
      </c>
      <c r="D2" s="1" t="s">
        <v>3</v>
      </c>
    </row>
    <row r="3" spans="1:5" ht="17.399999999999999" thickBot="1" x14ac:dyDescent="0.35">
      <c r="A3">
        <v>1</v>
      </c>
      <c r="B3" s="2" t="s">
        <v>33</v>
      </c>
      <c r="C3" s="2" t="s">
        <v>34</v>
      </c>
      <c r="D3" s="4" t="s">
        <v>35</v>
      </c>
    </row>
    <row r="4" spans="1:5" ht="34.200000000000003" thickBot="1" x14ac:dyDescent="0.35">
      <c r="A4">
        <v>2</v>
      </c>
      <c r="B4" s="2" t="s">
        <v>36</v>
      </c>
      <c r="C4" s="2" t="s">
        <v>37</v>
      </c>
      <c r="D4" s="2" t="s">
        <v>10</v>
      </c>
    </row>
    <row r="5" spans="1:5" ht="34.200000000000003" thickBot="1" x14ac:dyDescent="0.35">
      <c r="A5">
        <v>3</v>
      </c>
      <c r="B5" s="2" t="s">
        <v>38</v>
      </c>
      <c r="C5" s="2" t="s">
        <v>39</v>
      </c>
      <c r="D5" s="2" t="s">
        <v>10</v>
      </c>
      <c r="E5" s="5" t="s">
        <v>86</v>
      </c>
    </row>
    <row r="6" spans="1:5" ht="34.200000000000003" thickBot="1" x14ac:dyDescent="0.35">
      <c r="A6">
        <v>4</v>
      </c>
      <c r="B6" s="2" t="s">
        <v>40</v>
      </c>
      <c r="C6" s="2" t="s">
        <v>41</v>
      </c>
      <c r="D6" s="3">
        <v>1</v>
      </c>
      <c r="E6" t="s">
        <v>87</v>
      </c>
    </row>
    <row r="7" spans="1:5" ht="34.200000000000003" thickBot="1" x14ac:dyDescent="0.35">
      <c r="A7">
        <v>5</v>
      </c>
      <c r="B7" s="2" t="s">
        <v>42</v>
      </c>
      <c r="C7" s="2" t="s">
        <v>43</v>
      </c>
      <c r="D7" s="2" t="s">
        <v>44</v>
      </c>
      <c r="E7" s="5" t="s">
        <v>88</v>
      </c>
    </row>
    <row r="8" spans="1:5" ht="51" thickBot="1" x14ac:dyDescent="0.35">
      <c r="A8">
        <v>6</v>
      </c>
      <c r="B8" s="2" t="s">
        <v>45</v>
      </c>
      <c r="C8" s="2" t="s">
        <v>46</v>
      </c>
      <c r="D8" s="3">
        <v>0.95</v>
      </c>
    </row>
    <row r="9" spans="1:5" ht="34.200000000000003" thickBot="1" x14ac:dyDescent="0.35">
      <c r="B9" s="2" t="s">
        <v>47</v>
      </c>
      <c r="C9" s="2" t="s">
        <v>48</v>
      </c>
      <c r="D9" s="3">
        <v>1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EF4F7-80AE-40A7-9DF5-86881F25C5AD}">
  <dimension ref="A1:E5"/>
  <sheetViews>
    <sheetView workbookViewId="0">
      <selection activeCell="B5" sqref="B5"/>
    </sheetView>
  </sheetViews>
  <sheetFormatPr defaultRowHeight="14.4" x14ac:dyDescent="0.3"/>
  <cols>
    <col min="2" max="2" width="26.44140625" customWidth="1"/>
    <col min="3" max="3" width="22.44140625" customWidth="1"/>
    <col min="4" max="4" width="33.6640625" customWidth="1"/>
  </cols>
  <sheetData>
    <row r="1" spans="1:5" ht="15" thickBot="1" x14ac:dyDescent="0.35">
      <c r="A1" s="79" t="s">
        <v>89</v>
      </c>
      <c r="B1" s="79"/>
      <c r="C1" s="79"/>
      <c r="D1" s="79"/>
    </row>
    <row r="2" spans="1:5" ht="17.399999999999999" thickBot="1" x14ac:dyDescent="0.35">
      <c r="B2" s="1" t="s">
        <v>1</v>
      </c>
      <c r="C2" s="1" t="s">
        <v>2</v>
      </c>
      <c r="D2" s="1" t="s">
        <v>3</v>
      </c>
    </row>
    <row r="3" spans="1:5" ht="51" thickBot="1" x14ac:dyDescent="0.35">
      <c r="A3">
        <v>1</v>
      </c>
      <c r="B3" s="2" t="s">
        <v>90</v>
      </c>
      <c r="C3" s="2" t="s">
        <v>91</v>
      </c>
      <c r="D3" s="2" t="s">
        <v>10</v>
      </c>
    </row>
    <row r="4" spans="1:5" ht="51" thickBot="1" x14ac:dyDescent="0.35">
      <c r="A4">
        <v>2</v>
      </c>
      <c r="B4" s="2" t="s">
        <v>92</v>
      </c>
      <c r="C4" s="2" t="s">
        <v>93</v>
      </c>
      <c r="D4" s="2" t="s">
        <v>94</v>
      </c>
      <c r="E4" s="5" t="s">
        <v>95</v>
      </c>
    </row>
    <row r="5" spans="1:5" ht="51" thickBot="1" x14ac:dyDescent="0.35">
      <c r="A5">
        <v>3</v>
      </c>
      <c r="B5" s="2" t="s">
        <v>96</v>
      </c>
      <c r="C5" s="2" t="s">
        <v>97</v>
      </c>
      <c r="D5" s="3">
        <v>1</v>
      </c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57162-3352-4B8C-9C34-91560BCF9B27}">
  <dimension ref="A1:H5"/>
  <sheetViews>
    <sheetView workbookViewId="0">
      <selection activeCell="B2" sqref="B2:D5"/>
    </sheetView>
  </sheetViews>
  <sheetFormatPr defaultColWidth="37.44140625" defaultRowHeight="14.4" x14ac:dyDescent="0.3"/>
  <sheetData>
    <row r="1" spans="1:8" ht="17.399999999999999" thickBot="1" x14ac:dyDescent="0.35">
      <c r="A1" s="1"/>
      <c r="B1" s="1" t="s">
        <v>1</v>
      </c>
      <c r="C1" s="1" t="s">
        <v>98</v>
      </c>
      <c r="D1" s="1" t="s">
        <v>3</v>
      </c>
      <c r="E1" s="38" t="s">
        <v>4</v>
      </c>
      <c r="F1" s="38" t="s">
        <v>5</v>
      </c>
      <c r="G1" s="38" t="s">
        <v>6</v>
      </c>
      <c r="H1" s="38" t="s">
        <v>7</v>
      </c>
    </row>
    <row r="2" spans="1:8" ht="34.200000000000003" thickBot="1" x14ac:dyDescent="0.35">
      <c r="A2" s="2"/>
      <c r="B2" s="2" t="s">
        <v>50</v>
      </c>
      <c r="C2" s="2" t="s">
        <v>51</v>
      </c>
      <c r="D2" s="2" t="s">
        <v>52</v>
      </c>
    </row>
    <row r="3" spans="1:8" ht="34.200000000000003" thickBot="1" x14ac:dyDescent="0.35">
      <c r="A3" s="2"/>
      <c r="B3" s="2" t="s">
        <v>57</v>
      </c>
      <c r="C3" s="2" t="s">
        <v>58</v>
      </c>
      <c r="D3" s="2" t="s">
        <v>59</v>
      </c>
    </row>
    <row r="4" spans="1:8" ht="34.200000000000003" thickBot="1" x14ac:dyDescent="0.35">
      <c r="B4" s="2" t="s">
        <v>65</v>
      </c>
      <c r="C4" s="2" t="s">
        <v>62</v>
      </c>
      <c r="D4" s="2" t="s">
        <v>63</v>
      </c>
    </row>
    <row r="5" spans="1:8" ht="34.200000000000003" thickBot="1" x14ac:dyDescent="0.35">
      <c r="B5" s="2" t="s">
        <v>72</v>
      </c>
      <c r="C5" s="2" t="s">
        <v>99</v>
      </c>
      <c r="D5" s="2" t="s">
        <v>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EAD8D-0CA0-4FD9-97DD-69AA34EF9450}">
  <dimension ref="B1:E3"/>
  <sheetViews>
    <sheetView workbookViewId="0">
      <selection activeCell="C2" sqref="C2:E3"/>
    </sheetView>
  </sheetViews>
  <sheetFormatPr defaultRowHeight="14.4" x14ac:dyDescent="0.3"/>
  <cols>
    <col min="1" max="1" width="8.88671875" bestFit="1" customWidth="1"/>
    <col min="2" max="2" width="23.6640625" customWidth="1"/>
    <col min="3" max="3" width="33.5546875" customWidth="1"/>
    <col min="4" max="4" width="37" customWidth="1"/>
    <col min="5" max="5" width="30" customWidth="1"/>
  </cols>
  <sheetData>
    <row r="1" spans="2:5" ht="17.399999999999999" thickBot="1" x14ac:dyDescent="0.35">
      <c r="B1" s="1"/>
      <c r="C1" s="1" t="s">
        <v>1</v>
      </c>
      <c r="D1" s="1" t="s">
        <v>98</v>
      </c>
      <c r="E1" s="1" t="s">
        <v>3</v>
      </c>
    </row>
    <row r="2" spans="2:5" ht="34.200000000000003" thickBot="1" x14ac:dyDescent="0.35">
      <c r="C2" s="2" t="s">
        <v>80</v>
      </c>
      <c r="D2" s="2" t="s">
        <v>81</v>
      </c>
      <c r="E2" s="2" t="s">
        <v>82</v>
      </c>
    </row>
    <row r="3" spans="2:5" x14ac:dyDescent="0.3">
      <c r="C3" t="s">
        <v>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230C1-A1C0-4082-815B-918E0BB7E165}">
  <dimension ref="A1:Z2"/>
  <sheetViews>
    <sheetView topLeftCell="A9" workbookViewId="0">
      <selection activeCell="D8" sqref="B8:D28"/>
    </sheetView>
  </sheetViews>
  <sheetFormatPr defaultRowHeight="14.4" x14ac:dyDescent="0.3"/>
  <cols>
    <col min="1" max="1" width="12.5546875" customWidth="1"/>
    <col min="2" max="2" width="14.33203125" customWidth="1"/>
    <col min="3" max="3" width="16.5546875" customWidth="1"/>
    <col min="4" max="4" width="14" customWidth="1"/>
  </cols>
  <sheetData>
    <row r="1" spans="1:26" ht="57.6" x14ac:dyDescent="0.3">
      <c r="A1" s="9" t="s">
        <v>100</v>
      </c>
      <c r="B1" s="9" t="s">
        <v>101</v>
      </c>
      <c r="C1" s="9" t="s">
        <v>102</v>
      </c>
      <c r="D1" s="9" t="s">
        <v>103</v>
      </c>
      <c r="E1" s="9" t="s">
        <v>104</v>
      </c>
      <c r="F1" s="9" t="s">
        <v>105</v>
      </c>
      <c r="G1" s="9" t="s">
        <v>106</v>
      </c>
      <c r="H1" s="9" t="s">
        <v>107</v>
      </c>
      <c r="I1" s="9" t="s">
        <v>108</v>
      </c>
      <c r="J1" s="9" t="s">
        <v>109</v>
      </c>
      <c r="K1" s="9" t="s">
        <v>110</v>
      </c>
      <c r="L1" s="9" t="s">
        <v>111</v>
      </c>
      <c r="M1" s="9" t="s">
        <v>112</v>
      </c>
      <c r="N1" s="9" t="s">
        <v>113</v>
      </c>
      <c r="O1" s="9" t="s">
        <v>114</v>
      </c>
      <c r="P1" s="9" t="s">
        <v>115</v>
      </c>
      <c r="Q1" s="9" t="s">
        <v>116</v>
      </c>
      <c r="R1" s="9" t="s">
        <v>117</v>
      </c>
      <c r="S1" s="9" t="s">
        <v>118</v>
      </c>
      <c r="T1" s="9" t="s">
        <v>119</v>
      </c>
      <c r="U1" s="9" t="s">
        <v>120</v>
      </c>
      <c r="V1" s="9" t="s">
        <v>121</v>
      </c>
      <c r="W1" s="9" t="s">
        <v>122</v>
      </c>
      <c r="X1" s="9" t="s">
        <v>123</v>
      </c>
      <c r="Y1" s="9" t="s">
        <v>124</v>
      </c>
      <c r="Z1" s="9" t="s">
        <v>125</v>
      </c>
    </row>
    <row r="2" spans="1:26" ht="43.2" x14ac:dyDescent="0.3">
      <c r="A2" s="10" t="s">
        <v>126</v>
      </c>
      <c r="B2" s="10" t="s">
        <v>127</v>
      </c>
      <c r="C2" s="10" t="s">
        <v>128</v>
      </c>
      <c r="D2" s="10" t="s">
        <v>129</v>
      </c>
      <c r="E2" s="10" t="s">
        <v>130</v>
      </c>
      <c r="F2" s="10" t="s">
        <v>131</v>
      </c>
      <c r="G2" s="12">
        <v>46174</v>
      </c>
      <c r="H2" s="10">
        <v>8</v>
      </c>
      <c r="I2" s="11">
        <v>46023</v>
      </c>
      <c r="J2" s="11">
        <v>46025</v>
      </c>
      <c r="K2" s="11">
        <v>46030</v>
      </c>
      <c r="L2" s="10">
        <v>32</v>
      </c>
      <c r="M2" s="11">
        <v>46031</v>
      </c>
      <c r="N2" s="11">
        <v>46031</v>
      </c>
      <c r="O2" s="11">
        <v>46033</v>
      </c>
      <c r="P2" s="10" t="s">
        <v>132</v>
      </c>
      <c r="Q2" s="11">
        <v>46037</v>
      </c>
      <c r="R2" s="11">
        <v>46037</v>
      </c>
      <c r="S2" s="10" t="s">
        <v>133</v>
      </c>
      <c r="T2" s="10" t="s">
        <v>134</v>
      </c>
      <c r="U2" s="10" t="s">
        <v>135</v>
      </c>
      <c r="V2" s="10" t="s">
        <v>136</v>
      </c>
      <c r="W2" s="10">
        <v>48</v>
      </c>
      <c r="X2" s="10">
        <v>32</v>
      </c>
      <c r="Y2" s="10" t="s">
        <v>137</v>
      </c>
      <c r="Z2" s="10" t="s">
        <v>135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066DF-C169-4C3D-945C-7D382C6600E8}">
  <dimension ref="A1:V38"/>
  <sheetViews>
    <sheetView workbookViewId="0">
      <selection activeCell="L2" sqref="L2"/>
    </sheetView>
  </sheetViews>
  <sheetFormatPr defaultColWidth="10.5546875" defaultRowHeight="24.75" customHeight="1" x14ac:dyDescent="0.3"/>
  <cols>
    <col min="1" max="1" width="4" customWidth="1"/>
    <col min="4" max="4" width="22.5546875" customWidth="1"/>
    <col min="5" max="5" width="20.5546875" customWidth="1"/>
    <col min="6" max="6" width="8.88671875" customWidth="1"/>
    <col min="7" max="7" width="16" customWidth="1"/>
    <col min="13" max="13" width="14.109375" bestFit="1" customWidth="1"/>
    <col min="14" max="14" width="28.88671875" customWidth="1"/>
    <col min="15" max="15" width="17.33203125" bestFit="1" customWidth="1"/>
    <col min="16" max="16" width="14" bestFit="1" customWidth="1"/>
    <col min="17" max="17" width="16" bestFit="1" customWidth="1"/>
    <col min="18" max="18" width="12.88671875" bestFit="1" customWidth="1"/>
    <col min="19" max="19" width="31.33203125" bestFit="1" customWidth="1"/>
    <col min="20" max="20" width="24.44140625" bestFit="1" customWidth="1"/>
  </cols>
  <sheetData>
    <row r="1" spans="1:22" ht="36" x14ac:dyDescent="0.3">
      <c r="A1" s="24" t="s">
        <v>138</v>
      </c>
      <c r="B1" s="24" t="s">
        <v>139</v>
      </c>
      <c r="C1" s="24" t="s">
        <v>140</v>
      </c>
      <c r="D1" s="24" t="s">
        <v>141</v>
      </c>
      <c r="E1" s="24" t="s">
        <v>142</v>
      </c>
      <c r="F1" s="24" t="s">
        <v>143</v>
      </c>
      <c r="G1" s="23" t="s">
        <v>144</v>
      </c>
      <c r="H1" s="24" t="s">
        <v>145</v>
      </c>
      <c r="I1" s="24" t="s">
        <v>110</v>
      </c>
      <c r="J1" s="24" t="s">
        <v>146</v>
      </c>
      <c r="K1" s="24" t="s">
        <v>147</v>
      </c>
      <c r="L1" s="24" t="s">
        <v>148</v>
      </c>
      <c r="M1" s="24" t="s">
        <v>149</v>
      </c>
      <c r="N1" s="24" t="s">
        <v>150</v>
      </c>
      <c r="O1" s="37" t="s">
        <v>118</v>
      </c>
      <c r="P1" s="23" t="s">
        <v>119</v>
      </c>
      <c r="Q1" s="37" t="s">
        <v>120</v>
      </c>
      <c r="R1" s="23" t="s">
        <v>121</v>
      </c>
      <c r="S1" s="37" t="s">
        <v>122</v>
      </c>
      <c r="T1" s="23" t="s">
        <v>123</v>
      </c>
      <c r="U1" s="37" t="s">
        <v>124</v>
      </c>
      <c r="V1" s="23" t="s">
        <v>125</v>
      </c>
    </row>
    <row r="2" spans="1:22" ht="24.75" customHeight="1" x14ac:dyDescent="0.3">
      <c r="A2" s="14">
        <v>1</v>
      </c>
      <c r="B2" s="14" t="s">
        <v>151</v>
      </c>
      <c r="C2" s="14" t="s">
        <v>152</v>
      </c>
      <c r="D2" s="14" t="s">
        <v>153</v>
      </c>
      <c r="E2" s="15">
        <v>46117</v>
      </c>
      <c r="F2" s="14" t="s">
        <v>154</v>
      </c>
      <c r="G2" s="14">
        <v>8</v>
      </c>
      <c r="H2" s="15">
        <v>46119</v>
      </c>
      <c r="I2" s="15">
        <v>46129</v>
      </c>
      <c r="J2" s="14" t="s">
        <v>137</v>
      </c>
      <c r="K2" s="15">
        <v>46132</v>
      </c>
      <c r="L2" s="15">
        <v>46147</v>
      </c>
      <c r="M2" s="15">
        <v>46149</v>
      </c>
      <c r="N2" s="15">
        <v>46149</v>
      </c>
      <c r="O2" s="14" t="s">
        <v>152</v>
      </c>
      <c r="P2" s="22" t="s">
        <v>134</v>
      </c>
      <c r="Q2" s="22"/>
      <c r="R2" s="22" t="s">
        <v>134</v>
      </c>
      <c r="S2" s="22"/>
      <c r="T2" s="22"/>
      <c r="U2" s="22"/>
      <c r="V2" s="22"/>
    </row>
    <row r="3" spans="1:22" ht="24.75" customHeight="1" x14ac:dyDescent="0.3">
      <c r="A3" s="14">
        <v>2</v>
      </c>
      <c r="B3" s="14" t="s">
        <v>151</v>
      </c>
      <c r="C3" s="14" t="s">
        <v>152</v>
      </c>
      <c r="D3" s="14" t="s">
        <v>155</v>
      </c>
      <c r="E3" s="15">
        <v>46118</v>
      </c>
      <c r="F3" s="14" t="s">
        <v>156</v>
      </c>
      <c r="G3" s="14">
        <v>8</v>
      </c>
      <c r="H3" s="15">
        <v>46120</v>
      </c>
      <c r="I3" s="15">
        <v>46125</v>
      </c>
      <c r="J3" s="14" t="s">
        <v>137</v>
      </c>
      <c r="K3" s="15">
        <v>46125</v>
      </c>
      <c r="L3" s="15">
        <v>46147</v>
      </c>
      <c r="M3" s="15">
        <v>46149</v>
      </c>
      <c r="N3" s="15">
        <v>46149</v>
      </c>
      <c r="O3" s="14" t="s">
        <v>152</v>
      </c>
      <c r="P3" s="22" t="s">
        <v>134</v>
      </c>
      <c r="Q3" s="22"/>
      <c r="R3" s="22" t="s">
        <v>134</v>
      </c>
      <c r="S3" s="22"/>
      <c r="T3" s="22"/>
      <c r="U3" s="22"/>
      <c r="V3" s="22"/>
    </row>
    <row r="4" spans="1:22" ht="22.8" x14ac:dyDescent="0.3">
      <c r="A4" s="14">
        <v>3</v>
      </c>
      <c r="B4" s="14" t="s">
        <v>157</v>
      </c>
      <c r="C4" s="14" t="s">
        <v>152</v>
      </c>
      <c r="D4" s="14" t="s">
        <v>158</v>
      </c>
      <c r="E4" s="15">
        <v>46128</v>
      </c>
      <c r="F4" s="14" t="s">
        <v>159</v>
      </c>
      <c r="G4" s="14">
        <v>3</v>
      </c>
      <c r="H4" s="15">
        <v>46129</v>
      </c>
      <c r="I4" s="15">
        <v>46133</v>
      </c>
      <c r="J4" s="14" t="s">
        <v>137</v>
      </c>
      <c r="K4" s="15">
        <v>46135</v>
      </c>
      <c r="L4" s="15">
        <v>46147</v>
      </c>
      <c r="M4" s="15">
        <v>46149</v>
      </c>
      <c r="N4" s="15">
        <v>46149</v>
      </c>
      <c r="O4" s="14" t="s">
        <v>152</v>
      </c>
      <c r="P4" s="22" t="s">
        <v>134</v>
      </c>
      <c r="Q4" s="22"/>
      <c r="R4" s="22" t="s">
        <v>134</v>
      </c>
      <c r="S4" s="22"/>
      <c r="T4" s="22"/>
      <c r="U4" s="22"/>
      <c r="V4" s="22"/>
    </row>
    <row r="5" spans="1:22" ht="22.8" x14ac:dyDescent="0.3">
      <c r="A5" s="14">
        <v>4</v>
      </c>
      <c r="B5" s="14" t="s">
        <v>160</v>
      </c>
      <c r="C5" s="14" t="s">
        <v>152</v>
      </c>
      <c r="D5" s="14" t="s">
        <v>161</v>
      </c>
      <c r="E5" s="15">
        <v>46134</v>
      </c>
      <c r="F5" s="21" t="s">
        <v>162</v>
      </c>
      <c r="G5" s="14">
        <v>6</v>
      </c>
      <c r="H5" s="15">
        <v>46136</v>
      </c>
      <c r="I5" s="15">
        <v>46143</v>
      </c>
      <c r="J5" s="14" t="s">
        <v>137</v>
      </c>
      <c r="K5" s="15">
        <v>46146</v>
      </c>
      <c r="L5" s="15">
        <v>46160</v>
      </c>
      <c r="M5" s="15">
        <v>46162</v>
      </c>
      <c r="N5" s="15">
        <v>46162</v>
      </c>
      <c r="O5" s="14" t="s">
        <v>152</v>
      </c>
      <c r="P5" s="22" t="s">
        <v>134</v>
      </c>
      <c r="Q5" s="22"/>
      <c r="R5" s="22" t="s">
        <v>134</v>
      </c>
      <c r="S5" s="22"/>
      <c r="T5" s="22"/>
      <c r="U5" s="22"/>
      <c r="V5" s="22"/>
    </row>
    <row r="6" spans="1:22" ht="22.8" x14ac:dyDescent="0.3">
      <c r="A6" s="14">
        <v>5</v>
      </c>
      <c r="B6" s="14" t="s">
        <v>160</v>
      </c>
      <c r="C6" s="14" t="s">
        <v>152</v>
      </c>
      <c r="D6" s="14" t="s">
        <v>163</v>
      </c>
      <c r="E6" s="15">
        <v>46135</v>
      </c>
      <c r="F6" s="21" t="s">
        <v>164</v>
      </c>
      <c r="G6" s="14">
        <v>4</v>
      </c>
      <c r="H6" s="15">
        <v>46136</v>
      </c>
      <c r="I6" s="15">
        <v>46143</v>
      </c>
      <c r="J6" s="14" t="s">
        <v>137</v>
      </c>
      <c r="K6" s="15">
        <v>46147</v>
      </c>
      <c r="L6" s="15">
        <v>46160</v>
      </c>
      <c r="M6" s="15">
        <v>46162</v>
      </c>
      <c r="N6" s="15">
        <v>46162</v>
      </c>
      <c r="O6" s="14" t="s">
        <v>152</v>
      </c>
      <c r="P6" s="22" t="s">
        <v>134</v>
      </c>
      <c r="Q6" s="22"/>
      <c r="R6" s="22" t="s">
        <v>134</v>
      </c>
      <c r="S6" s="22"/>
      <c r="T6" s="22"/>
      <c r="U6" s="22"/>
      <c r="V6" s="22"/>
    </row>
    <row r="7" spans="1:22" ht="45.6" x14ac:dyDescent="0.3">
      <c r="A7" s="14">
        <v>6</v>
      </c>
      <c r="B7" s="14" t="s">
        <v>160</v>
      </c>
      <c r="C7" s="14" t="s">
        <v>152</v>
      </c>
      <c r="D7" s="14" t="s">
        <v>165</v>
      </c>
      <c r="E7" s="15">
        <v>46139</v>
      </c>
      <c r="F7" s="21" t="s">
        <v>166</v>
      </c>
      <c r="G7" s="14">
        <v>2</v>
      </c>
      <c r="H7" s="15">
        <v>46146</v>
      </c>
      <c r="I7" s="15">
        <v>46148</v>
      </c>
      <c r="J7" s="14" t="s">
        <v>137</v>
      </c>
      <c r="K7" s="15">
        <v>46149</v>
      </c>
      <c r="L7" s="15">
        <v>46160</v>
      </c>
      <c r="M7" s="15">
        <v>46162</v>
      </c>
      <c r="N7" s="15">
        <v>46162</v>
      </c>
      <c r="O7" s="14" t="s">
        <v>152</v>
      </c>
      <c r="P7" s="22" t="s">
        <v>134</v>
      </c>
      <c r="Q7" s="22"/>
      <c r="R7" s="22" t="s">
        <v>134</v>
      </c>
      <c r="S7" s="22"/>
      <c r="T7" s="22"/>
      <c r="U7" s="22"/>
      <c r="V7" s="22"/>
    </row>
    <row r="8" spans="1:22" ht="24.75" customHeight="1" x14ac:dyDescent="0.3">
      <c r="A8" s="14">
        <v>7</v>
      </c>
      <c r="B8" s="14" t="s">
        <v>160</v>
      </c>
      <c r="C8" s="14" t="s">
        <v>152</v>
      </c>
      <c r="D8" s="14" t="s">
        <v>167</v>
      </c>
      <c r="E8" s="15">
        <v>46139</v>
      </c>
      <c r="F8" s="21" t="s">
        <v>168</v>
      </c>
      <c r="G8" s="14">
        <v>4</v>
      </c>
      <c r="H8" s="15">
        <v>46146</v>
      </c>
      <c r="I8" s="15">
        <v>46149</v>
      </c>
      <c r="J8" s="14" t="s">
        <v>137</v>
      </c>
      <c r="K8" s="15">
        <v>46153</v>
      </c>
      <c r="L8" s="15">
        <v>46160</v>
      </c>
      <c r="M8" s="15">
        <v>46162</v>
      </c>
      <c r="N8" s="15">
        <v>46162</v>
      </c>
      <c r="O8" s="14" t="s">
        <v>152</v>
      </c>
      <c r="P8" s="22" t="s">
        <v>134</v>
      </c>
      <c r="Q8" s="22"/>
      <c r="R8" s="22" t="s">
        <v>134</v>
      </c>
      <c r="S8" s="22"/>
      <c r="T8" s="22"/>
      <c r="U8" s="22"/>
      <c r="V8" s="22"/>
    </row>
    <row r="9" spans="1:22" ht="86.25" customHeight="1" x14ac:dyDescent="0.3">
      <c r="A9" s="14">
        <v>8</v>
      </c>
      <c r="B9" s="14" t="s">
        <v>169</v>
      </c>
      <c r="C9" s="14" t="s">
        <v>152</v>
      </c>
      <c r="D9" s="14" t="s">
        <v>170</v>
      </c>
      <c r="E9" s="15">
        <v>46110</v>
      </c>
      <c r="F9" s="14" t="s">
        <v>171</v>
      </c>
      <c r="G9" s="14">
        <v>10</v>
      </c>
      <c r="H9" s="15">
        <v>46113</v>
      </c>
      <c r="I9" s="15">
        <v>46126</v>
      </c>
      <c r="J9" s="14" t="s">
        <v>137</v>
      </c>
      <c r="K9" s="14" t="s">
        <v>172</v>
      </c>
      <c r="L9" s="15">
        <v>46160</v>
      </c>
      <c r="M9" s="15">
        <v>46162</v>
      </c>
      <c r="N9" s="15">
        <v>46162</v>
      </c>
      <c r="O9" s="14" t="s">
        <v>152</v>
      </c>
      <c r="P9" s="22" t="s">
        <v>134</v>
      </c>
      <c r="Q9" s="22"/>
      <c r="R9" s="22" t="s">
        <v>134</v>
      </c>
      <c r="S9" s="22"/>
      <c r="T9" s="22"/>
      <c r="U9" s="22"/>
      <c r="V9" s="22"/>
    </row>
    <row r="10" spans="1:22" ht="24.75" customHeight="1" x14ac:dyDescent="0.3">
      <c r="A10" s="14">
        <v>9</v>
      </c>
      <c r="B10" s="14" t="s">
        <v>160</v>
      </c>
      <c r="C10" s="14" t="s">
        <v>152</v>
      </c>
      <c r="D10" s="14" t="s">
        <v>173</v>
      </c>
      <c r="E10" s="15">
        <v>46139</v>
      </c>
      <c r="F10" s="14" t="s">
        <v>174</v>
      </c>
      <c r="G10" s="14">
        <v>7</v>
      </c>
      <c r="H10" s="15">
        <v>46146</v>
      </c>
      <c r="I10" s="15">
        <v>46154</v>
      </c>
      <c r="J10" s="14" t="s">
        <v>137</v>
      </c>
      <c r="K10" s="15">
        <v>46155</v>
      </c>
      <c r="L10" s="15">
        <v>46181</v>
      </c>
      <c r="M10" s="15">
        <v>46182</v>
      </c>
      <c r="N10" s="15">
        <v>46182</v>
      </c>
      <c r="O10" s="14" t="s">
        <v>152</v>
      </c>
      <c r="P10" s="22" t="s">
        <v>134</v>
      </c>
      <c r="Q10" s="22"/>
      <c r="R10" s="22" t="s">
        <v>134</v>
      </c>
      <c r="S10" s="22"/>
      <c r="T10" s="22"/>
      <c r="U10" s="22"/>
      <c r="V10" s="22"/>
    </row>
    <row r="11" spans="1:22" ht="24.75" customHeight="1" x14ac:dyDescent="0.3">
      <c r="A11" s="14">
        <v>10</v>
      </c>
      <c r="B11" s="14" t="s">
        <v>175</v>
      </c>
      <c r="C11" s="14" t="s">
        <v>152</v>
      </c>
      <c r="D11" s="14" t="s">
        <v>176</v>
      </c>
      <c r="E11" s="15">
        <v>46139</v>
      </c>
      <c r="F11" s="14" t="s">
        <v>177</v>
      </c>
      <c r="G11" s="14">
        <v>8</v>
      </c>
      <c r="H11" s="15">
        <v>46150</v>
      </c>
      <c r="I11" s="15">
        <v>46161</v>
      </c>
      <c r="J11" s="14" t="s">
        <v>137</v>
      </c>
      <c r="K11" s="15">
        <v>46162</v>
      </c>
      <c r="L11" s="15">
        <v>46181</v>
      </c>
      <c r="M11" s="15">
        <v>46182</v>
      </c>
      <c r="N11" s="15">
        <v>46182</v>
      </c>
      <c r="O11" s="14" t="s">
        <v>152</v>
      </c>
      <c r="P11" s="22" t="s">
        <v>134</v>
      </c>
      <c r="Q11" s="22"/>
      <c r="R11" s="22" t="s">
        <v>134</v>
      </c>
      <c r="S11" s="22"/>
      <c r="T11" s="22"/>
      <c r="U11" s="22"/>
      <c r="V11" s="22"/>
    </row>
    <row r="12" spans="1:22" ht="24.75" customHeight="1" x14ac:dyDescent="0.3">
      <c r="A12" s="14">
        <v>11</v>
      </c>
      <c r="B12" s="14" t="s">
        <v>160</v>
      </c>
      <c r="C12" s="14" t="s">
        <v>152</v>
      </c>
      <c r="D12" s="14" t="s">
        <v>178</v>
      </c>
      <c r="E12" s="15">
        <v>46152</v>
      </c>
      <c r="F12" s="14" t="s">
        <v>179</v>
      </c>
      <c r="G12" s="14">
        <v>4</v>
      </c>
      <c r="H12" s="15">
        <v>46155</v>
      </c>
      <c r="I12" s="15">
        <v>46160</v>
      </c>
      <c r="J12" s="14" t="s">
        <v>137</v>
      </c>
      <c r="K12" s="15">
        <v>46162</v>
      </c>
      <c r="L12" s="15">
        <v>46181</v>
      </c>
      <c r="M12" s="15">
        <v>46182</v>
      </c>
      <c r="N12" s="15">
        <v>46182</v>
      </c>
      <c r="O12" s="14" t="s">
        <v>152</v>
      </c>
      <c r="P12" s="22" t="s">
        <v>134</v>
      </c>
      <c r="Q12" s="22"/>
      <c r="R12" s="22" t="s">
        <v>134</v>
      </c>
      <c r="S12" s="22"/>
      <c r="T12" s="22"/>
      <c r="U12" s="22"/>
      <c r="V12" s="22"/>
    </row>
    <row r="13" spans="1:22" ht="24.75" customHeight="1" x14ac:dyDescent="0.3">
      <c r="A13" s="14">
        <v>12</v>
      </c>
      <c r="B13" s="14" t="s">
        <v>180</v>
      </c>
      <c r="C13" s="14" t="s">
        <v>152</v>
      </c>
      <c r="D13" s="14" t="s">
        <v>181</v>
      </c>
      <c r="E13" s="15">
        <v>46157</v>
      </c>
      <c r="F13" s="14" t="s">
        <v>182</v>
      </c>
      <c r="G13" s="14">
        <v>4</v>
      </c>
      <c r="H13" s="15">
        <v>46162</v>
      </c>
      <c r="I13" s="15">
        <v>46168</v>
      </c>
      <c r="J13" s="14" t="s">
        <v>137</v>
      </c>
      <c r="K13" s="15">
        <v>46171</v>
      </c>
      <c r="L13" s="15">
        <v>46181</v>
      </c>
      <c r="M13" s="15">
        <v>46182</v>
      </c>
      <c r="N13" s="15">
        <v>46182</v>
      </c>
      <c r="O13" s="14" t="s">
        <v>152</v>
      </c>
      <c r="P13" s="22" t="s">
        <v>134</v>
      </c>
      <c r="Q13" s="22"/>
      <c r="R13" s="22" t="s">
        <v>134</v>
      </c>
      <c r="S13" s="22"/>
      <c r="T13" s="22"/>
      <c r="U13" s="22"/>
      <c r="V13" s="22"/>
    </row>
    <row r="14" spans="1:22" ht="24.75" customHeight="1" x14ac:dyDescent="0.3">
      <c r="A14" s="14">
        <v>13</v>
      </c>
      <c r="B14" s="14" t="s">
        <v>183</v>
      </c>
      <c r="C14" s="14" t="s">
        <v>152</v>
      </c>
      <c r="D14" s="14" t="s">
        <v>184</v>
      </c>
      <c r="E14" s="15">
        <v>46157</v>
      </c>
      <c r="F14" s="14" t="s">
        <v>185</v>
      </c>
      <c r="G14" s="14">
        <v>2</v>
      </c>
      <c r="H14" s="15">
        <v>46162</v>
      </c>
      <c r="I14" s="15">
        <v>46164</v>
      </c>
      <c r="J14" s="14" t="s">
        <v>137</v>
      </c>
      <c r="K14" s="14"/>
      <c r="L14" s="15">
        <v>46181</v>
      </c>
      <c r="M14" s="15">
        <v>46182</v>
      </c>
      <c r="N14" s="15">
        <v>46182</v>
      </c>
      <c r="O14" s="14" t="s">
        <v>152</v>
      </c>
      <c r="P14" s="22" t="s">
        <v>134</v>
      </c>
      <c r="Q14" s="22"/>
      <c r="R14" s="22" t="s">
        <v>134</v>
      </c>
      <c r="S14" s="22"/>
      <c r="T14" s="22"/>
      <c r="U14" s="22"/>
      <c r="V14" s="22"/>
    </row>
    <row r="15" spans="1:22" ht="24.75" customHeight="1" x14ac:dyDescent="0.3">
      <c r="A15" s="14">
        <v>14</v>
      </c>
      <c r="B15" s="14" t="s">
        <v>183</v>
      </c>
      <c r="C15" s="14" t="s">
        <v>152</v>
      </c>
      <c r="D15" s="14" t="s">
        <v>186</v>
      </c>
      <c r="E15" s="15">
        <v>46165</v>
      </c>
      <c r="F15" s="14" t="s">
        <v>187</v>
      </c>
      <c r="G15" s="14">
        <v>2</v>
      </c>
      <c r="H15" s="15">
        <v>46167</v>
      </c>
      <c r="I15" s="15">
        <v>46168</v>
      </c>
      <c r="J15" s="14" t="s">
        <v>137</v>
      </c>
      <c r="K15" s="14"/>
      <c r="L15" s="15">
        <v>46181</v>
      </c>
      <c r="M15" s="15">
        <v>46182</v>
      </c>
      <c r="N15" s="15">
        <v>46182</v>
      </c>
      <c r="O15" s="14" t="s">
        <v>152</v>
      </c>
      <c r="P15" s="22" t="s">
        <v>134</v>
      </c>
      <c r="Q15" s="22"/>
      <c r="R15" s="22" t="s">
        <v>134</v>
      </c>
      <c r="S15" s="22"/>
      <c r="T15" s="22"/>
      <c r="U15" s="22"/>
      <c r="V15" s="22"/>
    </row>
    <row r="16" spans="1:22" ht="24.75" customHeight="1" x14ac:dyDescent="0.3">
      <c r="A16" s="14">
        <v>15</v>
      </c>
      <c r="B16" s="14" t="s">
        <v>188</v>
      </c>
      <c r="C16" s="14" t="s">
        <v>152</v>
      </c>
      <c r="D16" s="14" t="s">
        <v>189</v>
      </c>
      <c r="E16" s="15">
        <v>46157</v>
      </c>
      <c r="F16" s="14" t="s">
        <v>190</v>
      </c>
      <c r="G16" s="14">
        <v>7</v>
      </c>
      <c r="H16" s="15">
        <v>46161</v>
      </c>
      <c r="I16" s="15">
        <v>46170</v>
      </c>
      <c r="J16" s="14" t="s">
        <v>137</v>
      </c>
      <c r="K16" s="15">
        <v>46174</v>
      </c>
      <c r="L16" s="15">
        <v>46181</v>
      </c>
      <c r="M16" s="15">
        <v>46182</v>
      </c>
      <c r="N16" s="15">
        <v>46182</v>
      </c>
      <c r="O16" s="14" t="s">
        <v>152</v>
      </c>
      <c r="P16" s="22" t="s">
        <v>134</v>
      </c>
      <c r="Q16" s="22"/>
      <c r="R16" s="22" t="s">
        <v>134</v>
      </c>
      <c r="S16" s="22"/>
      <c r="T16" s="22"/>
      <c r="U16" s="22"/>
      <c r="V16" s="22"/>
    </row>
    <row r="17" spans="1:22" ht="24.75" customHeight="1" x14ac:dyDescent="0.3">
      <c r="A17" s="14">
        <v>16</v>
      </c>
      <c r="B17" s="14" t="s">
        <v>180</v>
      </c>
      <c r="C17" s="14" t="s">
        <v>152</v>
      </c>
      <c r="D17" s="14" t="s">
        <v>191</v>
      </c>
      <c r="E17" s="15">
        <v>46154</v>
      </c>
      <c r="F17" s="14" t="s">
        <v>192</v>
      </c>
      <c r="G17" s="14">
        <v>4</v>
      </c>
      <c r="H17" s="15">
        <v>46171</v>
      </c>
      <c r="I17" s="15">
        <v>46176</v>
      </c>
      <c r="J17" s="14" t="s">
        <v>137</v>
      </c>
      <c r="K17" s="15">
        <v>46177</v>
      </c>
      <c r="L17" s="15">
        <v>46181</v>
      </c>
      <c r="M17" s="15">
        <v>46182</v>
      </c>
      <c r="N17" s="15">
        <v>46182</v>
      </c>
      <c r="O17" s="14" t="s">
        <v>152</v>
      </c>
      <c r="P17" s="22" t="s">
        <v>134</v>
      </c>
      <c r="Q17" s="22"/>
      <c r="R17" s="22" t="s">
        <v>134</v>
      </c>
      <c r="S17" s="22"/>
      <c r="T17" s="22"/>
      <c r="U17" s="22"/>
      <c r="V17" s="22"/>
    </row>
    <row r="18" spans="1:22" ht="24.75" customHeight="1" x14ac:dyDescent="0.3">
      <c r="A18" s="14">
        <v>17</v>
      </c>
      <c r="B18" s="14" t="s">
        <v>193</v>
      </c>
      <c r="C18" s="14" t="s">
        <v>152</v>
      </c>
      <c r="D18" s="19" t="s">
        <v>194</v>
      </c>
      <c r="E18" s="15">
        <v>46171</v>
      </c>
      <c r="F18" s="14" t="s">
        <v>195</v>
      </c>
      <c r="G18" s="14">
        <v>2</v>
      </c>
      <c r="H18" s="15">
        <v>46177</v>
      </c>
      <c r="I18" s="15">
        <v>46178</v>
      </c>
      <c r="J18" s="14" t="s">
        <v>137</v>
      </c>
      <c r="K18" s="15">
        <v>46181</v>
      </c>
      <c r="L18" s="15">
        <v>46181</v>
      </c>
      <c r="M18" s="15">
        <v>46182</v>
      </c>
      <c r="N18" s="15">
        <v>46182</v>
      </c>
      <c r="O18" s="14" t="s">
        <v>152</v>
      </c>
      <c r="P18" s="22" t="s">
        <v>134</v>
      </c>
      <c r="Q18" s="22"/>
      <c r="R18" s="22" t="s">
        <v>134</v>
      </c>
      <c r="S18" s="22"/>
      <c r="T18" s="22"/>
      <c r="U18" s="22"/>
      <c r="V18" s="22"/>
    </row>
    <row r="19" spans="1:22" ht="24.75" customHeight="1" x14ac:dyDescent="0.3">
      <c r="A19" s="14">
        <v>18</v>
      </c>
      <c r="B19" s="14" t="s">
        <v>196</v>
      </c>
      <c r="C19" s="14" t="s">
        <v>152</v>
      </c>
      <c r="D19" s="28" t="s">
        <v>197</v>
      </c>
      <c r="E19" s="15">
        <v>46171</v>
      </c>
      <c r="F19" s="14" t="s">
        <v>198</v>
      </c>
      <c r="G19" s="14">
        <v>1.5</v>
      </c>
      <c r="H19" s="15">
        <v>46176</v>
      </c>
      <c r="I19" s="15">
        <v>46177</v>
      </c>
      <c r="J19" s="14" t="s">
        <v>137</v>
      </c>
      <c r="K19" s="15">
        <v>46177</v>
      </c>
      <c r="L19" s="15">
        <v>46181</v>
      </c>
      <c r="M19" s="15">
        <v>46182</v>
      </c>
      <c r="N19" s="15">
        <v>46182</v>
      </c>
      <c r="O19" s="14" t="s">
        <v>152</v>
      </c>
      <c r="P19" s="22" t="s">
        <v>134</v>
      </c>
      <c r="Q19" s="22"/>
      <c r="R19" s="22" t="s">
        <v>134</v>
      </c>
      <c r="S19" s="22"/>
      <c r="T19" s="22"/>
      <c r="U19" s="22"/>
      <c r="V19" s="22"/>
    </row>
    <row r="20" spans="1:22" ht="24.75" customHeight="1" x14ac:dyDescent="0.3">
      <c r="A20" s="14">
        <v>19</v>
      </c>
      <c r="B20" s="14" t="s">
        <v>199</v>
      </c>
      <c r="C20" s="14" t="s">
        <v>152</v>
      </c>
      <c r="D20" s="28" t="s">
        <v>200</v>
      </c>
      <c r="E20" s="15">
        <v>46171</v>
      </c>
      <c r="F20" s="14" t="s">
        <v>201</v>
      </c>
      <c r="G20" s="14">
        <v>1.5</v>
      </c>
      <c r="H20" s="15">
        <v>46177</v>
      </c>
      <c r="I20" s="15">
        <v>46178</v>
      </c>
      <c r="J20" s="14" t="s">
        <v>137</v>
      </c>
      <c r="K20" s="15">
        <v>46178</v>
      </c>
      <c r="L20" s="15">
        <v>46181</v>
      </c>
      <c r="M20" s="15">
        <v>46182</v>
      </c>
      <c r="N20" s="15">
        <v>46182</v>
      </c>
      <c r="O20" s="14" t="s">
        <v>152</v>
      </c>
      <c r="P20" s="22" t="s">
        <v>134</v>
      </c>
      <c r="Q20" s="22"/>
      <c r="R20" s="22" t="s">
        <v>134</v>
      </c>
      <c r="S20" s="22"/>
      <c r="T20" s="22"/>
      <c r="U20" s="22"/>
      <c r="V20" s="22"/>
    </row>
    <row r="21" spans="1:22" ht="24.75" customHeight="1" x14ac:dyDescent="0.3">
      <c r="A21" s="18">
        <v>20</v>
      </c>
      <c r="B21" s="18" t="s">
        <v>202</v>
      </c>
      <c r="C21" s="18" t="s">
        <v>203</v>
      </c>
      <c r="D21" s="18" t="s">
        <v>204</v>
      </c>
      <c r="E21" s="17">
        <v>46164</v>
      </c>
      <c r="F21" s="29" t="s">
        <v>205</v>
      </c>
      <c r="G21" s="18">
        <v>3</v>
      </c>
      <c r="H21" s="17">
        <v>46181</v>
      </c>
      <c r="I21" s="17">
        <v>46183</v>
      </c>
      <c r="J21" s="14" t="s">
        <v>137</v>
      </c>
      <c r="K21" s="17">
        <v>46184</v>
      </c>
      <c r="L21" s="17">
        <v>46209</v>
      </c>
      <c r="M21" s="17">
        <v>46211</v>
      </c>
      <c r="N21" s="17">
        <v>46211</v>
      </c>
      <c r="O21" s="22"/>
      <c r="P21" s="22"/>
      <c r="Q21" s="22"/>
      <c r="R21" s="22"/>
      <c r="S21" s="22"/>
      <c r="T21" s="22"/>
      <c r="U21" s="22"/>
      <c r="V21" s="22"/>
    </row>
    <row r="22" spans="1:22" ht="24.75" customHeight="1" x14ac:dyDescent="0.3">
      <c r="A22" s="18">
        <v>21</v>
      </c>
      <c r="B22" s="18" t="s">
        <v>206</v>
      </c>
      <c r="C22" s="18" t="s">
        <v>203</v>
      </c>
      <c r="D22" s="18" t="s">
        <v>207</v>
      </c>
      <c r="E22" s="17">
        <v>46164</v>
      </c>
      <c r="F22" s="18" t="s">
        <v>208</v>
      </c>
      <c r="G22" s="18">
        <v>3</v>
      </c>
      <c r="H22" s="17">
        <v>46184</v>
      </c>
      <c r="I22" s="17">
        <v>46189</v>
      </c>
      <c r="J22" s="14" t="s">
        <v>137</v>
      </c>
      <c r="K22" s="17">
        <v>46189</v>
      </c>
      <c r="L22" s="17">
        <v>46209</v>
      </c>
      <c r="M22" s="17">
        <v>46211</v>
      </c>
      <c r="N22" s="17">
        <v>46211</v>
      </c>
      <c r="O22" s="22"/>
      <c r="P22" s="22"/>
      <c r="Q22" s="22"/>
      <c r="R22" s="22"/>
      <c r="S22" s="22"/>
      <c r="T22" s="22"/>
      <c r="U22" s="22"/>
      <c r="V22" s="22"/>
    </row>
    <row r="23" spans="1:22" ht="24.75" customHeight="1" x14ac:dyDescent="0.3">
      <c r="A23" s="18">
        <v>22</v>
      </c>
      <c r="B23" s="18" t="s">
        <v>209</v>
      </c>
      <c r="C23" s="18" t="s">
        <v>203</v>
      </c>
      <c r="D23" s="18" t="s">
        <v>210</v>
      </c>
      <c r="E23" s="17">
        <v>46184</v>
      </c>
      <c r="F23" s="18" t="s">
        <v>211</v>
      </c>
      <c r="G23" s="18">
        <v>4</v>
      </c>
      <c r="H23" s="30">
        <v>46191</v>
      </c>
      <c r="I23" s="31" t="s">
        <v>212</v>
      </c>
      <c r="J23" s="14" t="s">
        <v>137</v>
      </c>
      <c r="K23" s="17">
        <v>46197</v>
      </c>
      <c r="L23" s="17">
        <v>46209</v>
      </c>
      <c r="M23" s="17">
        <v>46211</v>
      </c>
      <c r="N23" s="17">
        <v>46211</v>
      </c>
      <c r="O23" s="22"/>
      <c r="P23" s="22"/>
      <c r="Q23" s="22"/>
      <c r="R23" s="22"/>
      <c r="S23" s="22"/>
      <c r="T23" s="22"/>
      <c r="U23" s="22"/>
      <c r="V23" s="22"/>
    </row>
    <row r="24" spans="1:22" ht="24.75" customHeight="1" x14ac:dyDescent="0.3">
      <c r="A24" s="18">
        <v>23</v>
      </c>
      <c r="B24" s="18" t="s">
        <v>213</v>
      </c>
      <c r="C24" s="18" t="s">
        <v>203</v>
      </c>
      <c r="D24" s="18" t="s">
        <v>214</v>
      </c>
      <c r="E24" s="17">
        <v>46184</v>
      </c>
      <c r="F24" s="18" t="s">
        <v>215</v>
      </c>
      <c r="G24" s="18">
        <v>3</v>
      </c>
      <c r="H24" s="17">
        <v>46190</v>
      </c>
      <c r="I24" s="17">
        <v>46195</v>
      </c>
      <c r="J24" s="14" t="s">
        <v>137</v>
      </c>
      <c r="K24" s="17">
        <v>46195</v>
      </c>
      <c r="L24" s="17">
        <v>46209</v>
      </c>
      <c r="M24" s="17">
        <v>46211</v>
      </c>
      <c r="N24" s="17">
        <v>46211</v>
      </c>
      <c r="O24" s="22"/>
      <c r="P24" s="22"/>
      <c r="Q24" s="22"/>
      <c r="R24" s="22"/>
      <c r="S24" s="22"/>
      <c r="T24" s="22"/>
      <c r="U24" s="22"/>
      <c r="V24" s="22"/>
    </row>
    <row r="25" spans="1:22" ht="24.75" customHeight="1" x14ac:dyDescent="0.3">
      <c r="A25" s="18">
        <v>24</v>
      </c>
      <c r="B25" s="18" t="s">
        <v>216</v>
      </c>
      <c r="C25" s="18" t="s">
        <v>203</v>
      </c>
      <c r="D25" s="32" t="s">
        <v>217</v>
      </c>
      <c r="E25" s="17">
        <v>46189</v>
      </c>
      <c r="F25" s="18" t="s">
        <v>218</v>
      </c>
      <c r="G25" s="18">
        <v>2</v>
      </c>
      <c r="H25" s="17">
        <v>46196</v>
      </c>
      <c r="I25" s="17">
        <v>46197</v>
      </c>
      <c r="J25" s="14" t="s">
        <v>137</v>
      </c>
      <c r="K25" s="17">
        <v>46197</v>
      </c>
      <c r="L25" s="17">
        <v>46209</v>
      </c>
      <c r="M25" s="17">
        <v>46211</v>
      </c>
      <c r="N25" s="17">
        <v>46211</v>
      </c>
      <c r="O25" s="22"/>
      <c r="P25" s="22"/>
      <c r="Q25" s="22"/>
      <c r="R25" s="22"/>
      <c r="S25" s="22"/>
      <c r="T25" s="22"/>
      <c r="U25" s="22"/>
      <c r="V25" s="22"/>
    </row>
    <row r="26" spans="1:22" ht="24.75" customHeight="1" x14ac:dyDescent="0.3">
      <c r="A26" s="18">
        <v>25</v>
      </c>
      <c r="B26" s="18" t="s">
        <v>219</v>
      </c>
      <c r="C26" s="18" t="s">
        <v>203</v>
      </c>
      <c r="D26" s="18" t="s">
        <v>220</v>
      </c>
      <c r="E26" s="17">
        <v>46196</v>
      </c>
      <c r="F26" s="18" t="s">
        <v>221</v>
      </c>
      <c r="G26" s="18">
        <v>2</v>
      </c>
      <c r="H26" s="17">
        <v>46198</v>
      </c>
      <c r="I26" s="17">
        <v>46202</v>
      </c>
      <c r="J26" s="14" t="s">
        <v>137</v>
      </c>
      <c r="K26" s="18"/>
      <c r="L26" s="17">
        <v>46209</v>
      </c>
      <c r="M26" s="17">
        <v>46211</v>
      </c>
      <c r="N26" s="17">
        <v>46211</v>
      </c>
      <c r="O26" s="22"/>
      <c r="P26" s="22"/>
      <c r="Q26" s="22"/>
      <c r="R26" s="22"/>
      <c r="S26" s="22"/>
      <c r="T26" s="22"/>
      <c r="U26" s="22"/>
      <c r="V26" s="22"/>
    </row>
    <row r="27" spans="1:22" ht="24.75" customHeight="1" x14ac:dyDescent="0.3">
      <c r="A27" s="18">
        <v>26</v>
      </c>
      <c r="B27" s="18" t="s">
        <v>222</v>
      </c>
      <c r="C27" s="18" t="s">
        <v>203</v>
      </c>
      <c r="D27" s="18" t="s">
        <v>223</v>
      </c>
      <c r="E27" s="17">
        <v>46189</v>
      </c>
      <c r="F27" s="18" t="s">
        <v>224</v>
      </c>
      <c r="G27" s="18">
        <v>4</v>
      </c>
      <c r="H27" s="17">
        <v>46202</v>
      </c>
      <c r="I27" s="17">
        <v>46206</v>
      </c>
      <c r="J27" s="14" t="s">
        <v>137</v>
      </c>
      <c r="K27" s="17">
        <v>46206</v>
      </c>
      <c r="L27" s="17">
        <v>46209</v>
      </c>
      <c r="M27" s="17">
        <v>46211</v>
      </c>
      <c r="N27" s="17">
        <v>46211</v>
      </c>
      <c r="O27" s="22"/>
      <c r="P27" s="22"/>
      <c r="Q27" s="22"/>
      <c r="R27" s="22"/>
      <c r="S27" s="22"/>
      <c r="T27" s="22"/>
      <c r="U27" s="22"/>
      <c r="V27" s="22"/>
    </row>
    <row r="28" spans="1:22" ht="39" customHeight="1" x14ac:dyDescent="0.3">
      <c r="A28" s="14">
        <v>27</v>
      </c>
      <c r="B28" s="14" t="s">
        <v>160</v>
      </c>
      <c r="C28" s="14" t="s">
        <v>225</v>
      </c>
      <c r="D28" s="14" t="s">
        <v>226</v>
      </c>
      <c r="E28" s="15">
        <v>46139</v>
      </c>
      <c r="F28" s="14" t="s">
        <v>227</v>
      </c>
      <c r="G28" s="14">
        <v>15</v>
      </c>
      <c r="H28" s="15">
        <v>46167</v>
      </c>
      <c r="I28" s="14" t="s">
        <v>228</v>
      </c>
      <c r="J28" s="14" t="s">
        <v>229</v>
      </c>
      <c r="K28" s="33" t="s">
        <v>230</v>
      </c>
      <c r="L28" s="15">
        <v>46195</v>
      </c>
      <c r="M28" s="14" t="s">
        <v>231</v>
      </c>
      <c r="N28" s="22"/>
      <c r="O28" s="22"/>
      <c r="P28" s="22"/>
      <c r="Q28" s="22"/>
      <c r="R28" s="22"/>
      <c r="S28" s="22"/>
      <c r="T28" s="22"/>
      <c r="U28" s="22"/>
      <c r="V28" s="22"/>
    </row>
    <row r="29" spans="1:22" ht="24.75" customHeight="1" x14ac:dyDescent="0.3">
      <c r="A29" s="14">
        <v>28</v>
      </c>
      <c r="B29" s="14" t="s">
        <v>232</v>
      </c>
      <c r="C29" s="14" t="s">
        <v>233</v>
      </c>
      <c r="D29" s="14" t="s">
        <v>234</v>
      </c>
      <c r="E29" s="17">
        <v>46189</v>
      </c>
      <c r="F29" s="34" t="s">
        <v>235</v>
      </c>
      <c r="G29" s="14">
        <v>10</v>
      </c>
      <c r="H29" s="15">
        <v>46198</v>
      </c>
      <c r="I29" s="15">
        <v>46211</v>
      </c>
      <c r="J29" s="14" t="s">
        <v>229</v>
      </c>
      <c r="K29" s="15">
        <v>46212</v>
      </c>
      <c r="L29" s="15">
        <v>46213</v>
      </c>
      <c r="M29" s="35" t="s">
        <v>236</v>
      </c>
      <c r="N29" s="22"/>
      <c r="O29" s="22"/>
      <c r="P29" s="22"/>
      <c r="Q29" s="22"/>
      <c r="R29" s="22"/>
      <c r="S29" s="22"/>
      <c r="T29" s="22"/>
      <c r="U29" s="22"/>
      <c r="V29" s="22"/>
    </row>
    <row r="30" spans="1:22" ht="24.75" customHeight="1" x14ac:dyDescent="0.3">
      <c r="A30" s="14">
        <v>29</v>
      </c>
      <c r="B30" s="14" t="s">
        <v>180</v>
      </c>
      <c r="C30" s="14" t="s">
        <v>233</v>
      </c>
      <c r="D30" s="36" t="s">
        <v>237</v>
      </c>
      <c r="E30" s="17">
        <v>46189</v>
      </c>
      <c r="F30" s="14" t="s">
        <v>238</v>
      </c>
      <c r="G30" s="14">
        <v>7</v>
      </c>
      <c r="H30" s="15">
        <v>46206</v>
      </c>
      <c r="I30" s="15">
        <v>46213</v>
      </c>
      <c r="J30" s="14" t="s">
        <v>229</v>
      </c>
      <c r="K30" s="15">
        <v>46213</v>
      </c>
      <c r="L30" s="15">
        <v>46213</v>
      </c>
      <c r="M30" s="14" t="s">
        <v>239</v>
      </c>
      <c r="N30" s="22"/>
      <c r="O30" s="22"/>
      <c r="P30" s="22"/>
      <c r="Q30" s="22"/>
      <c r="R30" s="22"/>
      <c r="S30" s="22"/>
      <c r="T30" s="22"/>
      <c r="U30" s="22"/>
      <c r="V30" s="22"/>
    </row>
    <row r="31" spans="1:22" ht="24.75" customHeight="1" x14ac:dyDescent="0.3">
      <c r="A31" s="14">
        <v>30</v>
      </c>
      <c r="B31" s="14"/>
      <c r="C31" s="14" t="s">
        <v>233</v>
      </c>
      <c r="D31" s="14" t="s">
        <v>240</v>
      </c>
      <c r="E31" s="17">
        <v>46189</v>
      </c>
      <c r="F31" s="14" t="s">
        <v>241</v>
      </c>
      <c r="G31" s="14">
        <v>3</v>
      </c>
      <c r="H31" s="15">
        <v>46216</v>
      </c>
      <c r="I31" s="15">
        <v>46218</v>
      </c>
      <c r="J31" s="14" t="s">
        <v>229</v>
      </c>
      <c r="K31" s="14"/>
      <c r="L31" s="15">
        <v>46219</v>
      </c>
      <c r="M31" s="14" t="s">
        <v>239</v>
      </c>
      <c r="N31" s="22"/>
      <c r="O31" s="22"/>
      <c r="P31" s="22"/>
      <c r="Q31" s="22"/>
      <c r="R31" s="22"/>
      <c r="S31" s="22"/>
      <c r="T31" s="22"/>
      <c r="U31" s="22"/>
      <c r="V31" s="22"/>
    </row>
    <row r="32" spans="1:22" ht="24.75" customHeight="1" x14ac:dyDescent="0.3">
      <c r="A32" s="14">
        <v>31</v>
      </c>
      <c r="B32" s="14" t="s">
        <v>160</v>
      </c>
      <c r="C32" s="14" t="s">
        <v>233</v>
      </c>
      <c r="D32" s="14" t="s">
        <v>242</v>
      </c>
      <c r="E32" s="15">
        <v>46167</v>
      </c>
      <c r="F32" s="14" t="s">
        <v>243</v>
      </c>
      <c r="G32" s="14">
        <v>55</v>
      </c>
      <c r="H32" s="15">
        <v>46171</v>
      </c>
      <c r="I32" s="15">
        <v>46248</v>
      </c>
      <c r="J32" s="14" t="s">
        <v>244</v>
      </c>
      <c r="K32" s="15">
        <v>46248</v>
      </c>
      <c r="L32" s="15">
        <v>46248</v>
      </c>
      <c r="M32" s="14" t="s">
        <v>245</v>
      </c>
      <c r="N32" s="22"/>
      <c r="O32" s="22"/>
      <c r="P32" s="22"/>
      <c r="Q32" s="22"/>
      <c r="R32" s="22"/>
      <c r="S32" s="22"/>
      <c r="T32" s="22"/>
      <c r="U32" s="22"/>
      <c r="V32" s="22"/>
    </row>
    <row r="33" spans="1:22" ht="24.75" customHeight="1" x14ac:dyDescent="0.3">
      <c r="A33" s="14">
        <v>32</v>
      </c>
      <c r="B33" s="14" t="s">
        <v>180</v>
      </c>
      <c r="C33" s="14" t="s">
        <v>233</v>
      </c>
      <c r="D33" s="36" t="s">
        <v>246</v>
      </c>
      <c r="E33" s="15">
        <v>46216</v>
      </c>
      <c r="F33" s="14" t="s">
        <v>247</v>
      </c>
      <c r="G33" s="14">
        <v>18</v>
      </c>
      <c r="H33" s="15">
        <v>46219</v>
      </c>
      <c r="I33" s="15">
        <v>46245</v>
      </c>
      <c r="J33" s="14"/>
      <c r="K33" s="14"/>
      <c r="L33" s="15">
        <v>46245</v>
      </c>
      <c r="M33" s="14" t="s">
        <v>245</v>
      </c>
      <c r="N33" s="22"/>
      <c r="O33" s="22"/>
      <c r="P33" s="22"/>
      <c r="Q33" s="22"/>
      <c r="R33" s="22"/>
      <c r="S33" s="22"/>
      <c r="T33" s="22"/>
      <c r="U33" s="22"/>
      <c r="V33" s="22"/>
    </row>
    <row r="34" spans="1:22" ht="24.75" customHeight="1" x14ac:dyDescent="0.3">
      <c r="A34" s="14">
        <v>33</v>
      </c>
      <c r="B34" s="14" t="s">
        <v>248</v>
      </c>
      <c r="C34" s="14" t="s">
        <v>233</v>
      </c>
      <c r="D34" s="14" t="s">
        <v>249</v>
      </c>
      <c r="E34" s="15">
        <v>46211</v>
      </c>
      <c r="F34" s="14" t="s">
        <v>250</v>
      </c>
      <c r="G34" s="14">
        <v>7</v>
      </c>
      <c r="H34" s="15">
        <v>46213</v>
      </c>
      <c r="I34" s="15">
        <v>46224</v>
      </c>
      <c r="J34" s="14"/>
      <c r="K34" s="14"/>
      <c r="L34" s="15">
        <v>46224</v>
      </c>
      <c r="M34" s="14" t="s">
        <v>245</v>
      </c>
      <c r="N34" s="22"/>
      <c r="O34" s="22"/>
      <c r="P34" s="22"/>
      <c r="Q34" s="22"/>
      <c r="R34" s="22"/>
      <c r="S34" s="22"/>
      <c r="T34" s="22"/>
      <c r="U34" s="22"/>
      <c r="V34" s="22"/>
    </row>
    <row r="35" spans="1:22" ht="24.75" customHeight="1" x14ac:dyDescent="0.3">
      <c r="A35" s="14">
        <v>34</v>
      </c>
      <c r="B35" s="14" t="s">
        <v>251</v>
      </c>
      <c r="C35" s="14" t="s">
        <v>233</v>
      </c>
      <c r="D35" s="14" t="s">
        <v>252</v>
      </c>
      <c r="E35" s="15">
        <v>46221</v>
      </c>
      <c r="F35" s="14" t="s">
        <v>253</v>
      </c>
      <c r="G35" s="14">
        <v>15</v>
      </c>
      <c r="H35" s="15">
        <v>46225</v>
      </c>
      <c r="I35" s="15">
        <v>46247</v>
      </c>
      <c r="J35" s="14"/>
      <c r="K35" s="14"/>
      <c r="L35" s="15">
        <v>46247</v>
      </c>
      <c r="M35" s="14" t="s">
        <v>254</v>
      </c>
      <c r="N35" s="22"/>
      <c r="O35" s="22"/>
      <c r="P35" s="22"/>
      <c r="Q35" s="22"/>
      <c r="R35" s="22"/>
      <c r="S35" s="22"/>
      <c r="T35" s="22"/>
      <c r="U35" s="22"/>
      <c r="V35" s="22"/>
    </row>
    <row r="36" spans="1:22" ht="24.75" customHeight="1" x14ac:dyDescent="0.3">
      <c r="A36" s="14">
        <v>35</v>
      </c>
      <c r="B36" s="14" t="s">
        <v>248</v>
      </c>
      <c r="C36" s="14" t="s">
        <v>233</v>
      </c>
      <c r="D36" s="14" t="s">
        <v>255</v>
      </c>
      <c r="E36" s="14" t="s">
        <v>256</v>
      </c>
      <c r="F36" s="14" t="s">
        <v>257</v>
      </c>
      <c r="G36" s="14">
        <v>12</v>
      </c>
      <c r="H36" s="20">
        <v>46245</v>
      </c>
      <c r="I36" s="20">
        <v>46261</v>
      </c>
      <c r="J36" s="14"/>
      <c r="K36" s="14"/>
      <c r="L36" s="20">
        <v>46261</v>
      </c>
      <c r="M36" s="14" t="s">
        <v>245</v>
      </c>
      <c r="N36" s="22"/>
      <c r="O36" s="22"/>
      <c r="P36" s="22"/>
      <c r="Q36" s="22"/>
      <c r="R36" s="22"/>
      <c r="S36" s="22"/>
      <c r="T36" s="22"/>
      <c r="U36" s="22"/>
      <c r="V36" s="22"/>
    </row>
    <row r="37" spans="1:22" ht="24.75" customHeight="1" x14ac:dyDescent="0.3">
      <c r="A37" s="14">
        <v>36</v>
      </c>
      <c r="B37" s="14" t="s">
        <v>180</v>
      </c>
      <c r="C37" s="14" t="s">
        <v>233</v>
      </c>
      <c r="D37" s="14" t="s">
        <v>258</v>
      </c>
      <c r="E37" s="17">
        <v>46189</v>
      </c>
      <c r="F37" s="14" t="s">
        <v>259</v>
      </c>
      <c r="G37" s="14">
        <v>5</v>
      </c>
      <c r="H37" s="15">
        <v>46247</v>
      </c>
      <c r="I37" s="15">
        <v>46254</v>
      </c>
      <c r="J37" s="14"/>
      <c r="K37" s="14"/>
      <c r="L37" s="20">
        <v>46254</v>
      </c>
      <c r="M37" s="14" t="s">
        <v>245</v>
      </c>
      <c r="N37" s="22"/>
      <c r="O37" s="22"/>
      <c r="P37" s="22"/>
      <c r="Q37" s="22"/>
      <c r="R37" s="22"/>
      <c r="S37" s="22"/>
      <c r="T37" s="22"/>
      <c r="U37" s="22"/>
      <c r="V37" s="22"/>
    </row>
    <row r="38" spans="1:22" ht="72" x14ac:dyDescent="0.3">
      <c r="A38" s="16">
        <v>37</v>
      </c>
      <c r="B38" s="16" t="s">
        <v>260</v>
      </c>
      <c r="C38" s="16" t="s">
        <v>233</v>
      </c>
      <c r="D38" s="25" t="s">
        <v>261</v>
      </c>
      <c r="E38" s="16" t="s">
        <v>256</v>
      </c>
      <c r="F38" s="16" t="s">
        <v>262</v>
      </c>
      <c r="G38" s="16">
        <v>3</v>
      </c>
      <c r="H38" s="26">
        <v>46251</v>
      </c>
      <c r="I38" s="26">
        <v>46255</v>
      </c>
      <c r="J38" s="16"/>
      <c r="K38" s="16"/>
      <c r="L38" s="27">
        <v>46256</v>
      </c>
      <c r="M38" s="16" t="s">
        <v>245</v>
      </c>
      <c r="N38" s="22"/>
      <c r="O38" s="13"/>
      <c r="P38" s="13"/>
      <c r="Q38" s="13"/>
      <c r="R38" s="13"/>
      <c r="S38" s="13"/>
      <c r="T38" s="22"/>
      <c r="U38" s="22"/>
      <c r="V38" s="22"/>
    </row>
  </sheetData>
  <hyperlinks>
    <hyperlink ref="D18" r:id="rId1" display="https://axismaxlife.atlassian.net/browse/IP-489" xr:uid="{D52DD1D1-FF1F-45EA-A9F3-1FDAE02E472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Delivery Governance</vt:lpstr>
      <vt:lpstr>KPIs</vt:lpstr>
      <vt:lpstr>Calculation</vt:lpstr>
      <vt:lpstr>Quality</vt:lpstr>
      <vt:lpstr>Automation</vt:lpstr>
      <vt:lpstr>Sustain</vt:lpstr>
      <vt:lpstr>Cost</vt:lpstr>
      <vt:lpstr>Sheet1</vt:lpstr>
      <vt:lpstr>IBPS-POS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Sandeep (Gurugram -90C - Digital Technology)</dc:creator>
  <cp:keywords/>
  <dc:description/>
  <cp:lastModifiedBy>HP</cp:lastModifiedBy>
  <cp:revision/>
  <dcterms:created xsi:type="dcterms:W3CDTF">2026-07-01T07:03:39Z</dcterms:created>
  <dcterms:modified xsi:type="dcterms:W3CDTF">2026-07-21T00:10:31Z</dcterms:modified>
  <cp:category/>
  <cp:contentStatus/>
</cp:coreProperties>
</file>